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uth_3boxz14\Downloads\public\templates\"/>
    </mc:Choice>
  </mc:AlternateContent>
  <xr:revisionPtr revIDLastSave="0" documentId="13_ncr:1_{E8954567-DEE6-4181-9964-3CAA87B4B8FE}" xr6:coauthVersionLast="47" xr6:coauthVersionMax="47" xr10:uidLastSave="{00000000-0000-0000-0000-000000000000}"/>
  <bookViews>
    <workbookView xWindow="-120" yWindow="-120" windowWidth="21840" windowHeight="13140" tabRatio="926" firstSheet="12" activeTab="12" xr2:uid="{00000000-000D-0000-FFFF-FFFF00000000}"/>
  </bookViews>
  <sheets>
    <sheet name="ASTEC LTI 07-01" sheetId="785" r:id="rId1"/>
    <sheet name="BROTHER 07-01" sheetId="787" r:id="rId2"/>
    <sheet name="NIDEC 07-03" sheetId="818" r:id="rId3"/>
    <sheet name="ASTEC LTI 07-03" sheetId="786" r:id="rId4"/>
    <sheet name="TSUKIDEN 07-03" sheetId="788" r:id="rId5"/>
    <sheet name="ASTEC LTI 07-06 (1.487)" sheetId="789" r:id="rId6"/>
    <sheet name="ASTEC LTI 07-06 (0.507)" sheetId="790" r:id="rId7"/>
    <sheet name="ASTEC CEZ 07-06" sheetId="846" r:id="rId8"/>
    <sheet name="DENSO 07-06 (2.01)" sheetId="847" r:id="rId9"/>
    <sheet name="DENSO 07-06 (2.007)" sheetId="848" r:id="rId10"/>
    <sheet name="ASTEC LTI 07-08" sheetId="849" r:id="rId11"/>
    <sheet name="ASTEC LTI 07-09" sheetId="850" r:id="rId12"/>
    <sheet name="HAZWASTE TEMPLATE" sheetId="854" r:id="rId13"/>
  </sheets>
  <definedNames>
    <definedName name="_xlnm.Print_Area" localSheetId="7">'ASTEC CEZ 07-06'!$A$1:$H$52</definedName>
    <definedName name="_xlnm.Print_Area" localSheetId="0">'ASTEC LTI 07-01'!$A$1:$H$52</definedName>
    <definedName name="_xlnm.Print_Area" localSheetId="3">'ASTEC LTI 07-03'!$A$1:$H$52</definedName>
    <definedName name="_xlnm.Print_Area" localSheetId="6">'ASTEC LTI 07-06 (0.507)'!$A$1:$H$52</definedName>
    <definedName name="_xlnm.Print_Area" localSheetId="5">'ASTEC LTI 07-06 (1.487)'!$A$1:$H$52</definedName>
    <definedName name="_xlnm.Print_Area" localSheetId="10">'ASTEC LTI 07-08'!$A$1:$H$52</definedName>
    <definedName name="_xlnm.Print_Area" localSheetId="11">'ASTEC LTI 07-09'!$A$1:$H$52</definedName>
    <definedName name="_xlnm.Print_Area" localSheetId="1">'BROTHER 07-01'!$A$1:$H$52</definedName>
    <definedName name="_xlnm.Print_Area" localSheetId="9">'DENSO 07-06 (2.007)'!$A$1:$H$52</definedName>
    <definedName name="_xlnm.Print_Area" localSheetId="8">'DENSO 07-06 (2.01)'!$A$1:$H$52</definedName>
    <definedName name="_xlnm.Print_Area" localSheetId="12">'HAZWASTE TEMPLATE'!$A$1:$H$52</definedName>
    <definedName name="_xlnm.Print_Area" localSheetId="2">'NIDEC 07-03'!$A$1:$H$49</definedName>
    <definedName name="_xlnm.Print_Area" localSheetId="4">'TSUKIDEN 07-03'!$A$1:$H$52</definedName>
  </definedNames>
  <calcPr calcId="181029"/>
</workbook>
</file>

<file path=xl/calcChain.xml><?xml version="1.0" encoding="utf-8"?>
<calcChain xmlns="http://schemas.openxmlformats.org/spreadsheetml/2006/main">
  <c r="E9" i="854" l="1"/>
  <c r="G9" i="854" s="1"/>
  <c r="A48" i="854"/>
  <c r="A47" i="854"/>
  <c r="E42" i="854"/>
  <c r="C42" i="854"/>
  <c r="F32" i="854"/>
  <c r="C28" i="854"/>
  <c r="G27" i="854"/>
  <c r="C27" i="854"/>
  <c r="C29" i="854"/>
  <c r="E17" i="854"/>
  <c r="E16" i="854"/>
  <c r="E15" i="854"/>
  <c r="E14" i="854"/>
  <c r="E13" i="854"/>
  <c r="E12" i="854"/>
  <c r="E11" i="854"/>
  <c r="E10" i="854"/>
  <c r="J10" i="854" s="1"/>
  <c r="E8" i="854"/>
  <c r="J8" i="854" s="1"/>
  <c r="G8" i="850"/>
  <c r="E8" i="850"/>
  <c r="A48" i="850"/>
  <c r="A47" i="850"/>
  <c r="E42" i="850"/>
  <c r="C42" i="850"/>
  <c r="F32" i="850"/>
  <c r="C28" i="850"/>
  <c r="G27" i="850"/>
  <c r="C27" i="850"/>
  <c r="F18" i="850"/>
  <c r="C18" i="850"/>
  <c r="E17" i="850"/>
  <c r="E16" i="850"/>
  <c r="E15" i="850"/>
  <c r="E14" i="850"/>
  <c r="E13" i="850"/>
  <c r="E12" i="850"/>
  <c r="E11" i="850"/>
  <c r="E10" i="850"/>
  <c r="E9" i="850"/>
  <c r="J8" i="850"/>
  <c r="E7" i="850"/>
  <c r="C4" i="850"/>
  <c r="C29" i="850" s="1"/>
  <c r="A48" i="849"/>
  <c r="A47" i="849"/>
  <c r="E42" i="849"/>
  <c r="C42" i="849"/>
  <c r="F32" i="849"/>
  <c r="C28" i="849"/>
  <c r="G27" i="849"/>
  <c r="C27" i="849"/>
  <c r="F18" i="849"/>
  <c r="C18" i="849"/>
  <c r="E17" i="849"/>
  <c r="E16" i="849"/>
  <c r="E15" i="849"/>
  <c r="E14" i="849"/>
  <c r="E13" i="849"/>
  <c r="E12" i="849"/>
  <c r="E11" i="849"/>
  <c r="E10" i="849"/>
  <c r="E9" i="849"/>
  <c r="G9" i="849" s="1"/>
  <c r="E8" i="849"/>
  <c r="J8" i="849" s="1"/>
  <c r="E7" i="849"/>
  <c r="C4" i="849"/>
  <c r="C29" i="849" s="1"/>
  <c r="A48" i="848"/>
  <c r="A47" i="848"/>
  <c r="E42" i="848"/>
  <c r="C42" i="848"/>
  <c r="F32" i="848"/>
  <c r="C28" i="848"/>
  <c r="G27" i="848"/>
  <c r="C27" i="848"/>
  <c r="F18" i="848"/>
  <c r="C18" i="848"/>
  <c r="C4" i="848" s="1"/>
  <c r="C29" i="848" s="1"/>
  <c r="E17" i="848"/>
  <c r="E16" i="848"/>
  <c r="E15" i="848"/>
  <c r="E14" i="848"/>
  <c r="G14" i="848" s="1"/>
  <c r="J14" i="848" s="1"/>
  <c r="E13" i="848"/>
  <c r="E12" i="848"/>
  <c r="E11" i="848"/>
  <c r="E10" i="848"/>
  <c r="E9" i="848"/>
  <c r="E8" i="848"/>
  <c r="J8" i="848" s="1"/>
  <c r="E7" i="848"/>
  <c r="J7" i="848" s="1"/>
  <c r="A48" i="847"/>
  <c r="A47" i="847"/>
  <c r="E42" i="847"/>
  <c r="C42" i="847"/>
  <c r="F32" i="847"/>
  <c r="C28" i="847"/>
  <c r="G27" i="847"/>
  <c r="C27" i="847"/>
  <c r="F18" i="847"/>
  <c r="C18" i="847"/>
  <c r="C4" i="847" s="1"/>
  <c r="C29" i="847" s="1"/>
  <c r="E17" i="847"/>
  <c r="E16" i="847"/>
  <c r="G15" i="847"/>
  <c r="J15" i="847" s="1"/>
  <c r="E15" i="847"/>
  <c r="E14" i="847"/>
  <c r="E13" i="847"/>
  <c r="E12" i="847"/>
  <c r="E11" i="847"/>
  <c r="E10" i="847"/>
  <c r="E9" i="847"/>
  <c r="E8" i="847"/>
  <c r="J8" i="847" s="1"/>
  <c r="E7" i="847"/>
  <c r="F18" i="846"/>
  <c r="G9" i="846"/>
  <c r="E8" i="846"/>
  <c r="E9" i="846"/>
  <c r="J9" i="846"/>
  <c r="A48" i="846"/>
  <c r="A47" i="846"/>
  <c r="F42" i="846"/>
  <c r="E42" i="846"/>
  <c r="C42" i="846"/>
  <c r="F32" i="846"/>
  <c r="G32" i="846" s="1"/>
  <c r="G42" i="846" s="1"/>
  <c r="C28" i="846"/>
  <c r="G27" i="846"/>
  <c r="C27" i="846"/>
  <c r="C18" i="846"/>
  <c r="C4" i="846" s="1"/>
  <c r="C29" i="846" s="1"/>
  <c r="E17" i="846"/>
  <c r="E16" i="846"/>
  <c r="E15" i="846"/>
  <c r="E14" i="846"/>
  <c r="E13" i="846"/>
  <c r="E12" i="846"/>
  <c r="E11" i="846"/>
  <c r="E10" i="846"/>
  <c r="E7" i="846"/>
  <c r="E8" i="789"/>
  <c r="G8" i="789"/>
  <c r="E9" i="818"/>
  <c r="J9" i="818" s="1"/>
  <c r="E8" i="818"/>
  <c r="J8" i="818" s="1"/>
  <c r="G7" i="787"/>
  <c r="E7" i="787"/>
  <c r="C18" i="790"/>
  <c r="E7" i="790"/>
  <c r="E18" i="790" s="1"/>
  <c r="E7" i="786"/>
  <c r="G7" i="786" s="1"/>
  <c r="E8" i="786"/>
  <c r="C18" i="786"/>
  <c r="E8" i="785"/>
  <c r="F18" i="786"/>
  <c r="G9" i="790"/>
  <c r="G8" i="790"/>
  <c r="C18" i="789"/>
  <c r="E10" i="789"/>
  <c r="G10" i="789" s="1"/>
  <c r="J10" i="789" s="1"/>
  <c r="E9" i="789"/>
  <c r="G9" i="789" s="1"/>
  <c r="E7" i="818"/>
  <c r="A48" i="790"/>
  <c r="A47" i="790"/>
  <c r="E42" i="790"/>
  <c r="C42" i="790"/>
  <c r="F32" i="790"/>
  <c r="C28" i="790"/>
  <c r="G27" i="790"/>
  <c r="C27" i="790"/>
  <c r="E17" i="790"/>
  <c r="E16" i="790"/>
  <c r="E15" i="790"/>
  <c r="E14" i="790"/>
  <c r="E13" i="790"/>
  <c r="E12" i="790"/>
  <c r="E11" i="790"/>
  <c r="E10" i="790"/>
  <c r="A48" i="789"/>
  <c r="A47" i="789"/>
  <c r="E42" i="789"/>
  <c r="C42" i="789"/>
  <c r="F32" i="789"/>
  <c r="C28" i="789"/>
  <c r="G27" i="789"/>
  <c r="C27" i="789"/>
  <c r="F18" i="789"/>
  <c r="E17" i="789"/>
  <c r="E16" i="789"/>
  <c r="E15" i="789"/>
  <c r="E14" i="789"/>
  <c r="E13" i="789"/>
  <c r="E12" i="789"/>
  <c r="E11" i="789"/>
  <c r="E7" i="789"/>
  <c r="A48" i="788"/>
  <c r="A47" i="788"/>
  <c r="E42" i="788"/>
  <c r="C42" i="788"/>
  <c r="F32" i="788"/>
  <c r="C28" i="788"/>
  <c r="G27" i="788"/>
  <c r="C27" i="788"/>
  <c r="F18" i="788"/>
  <c r="C18" i="788"/>
  <c r="C4" i="788" s="1"/>
  <c r="C29" i="788" s="1"/>
  <c r="E17" i="788"/>
  <c r="E16" i="788"/>
  <c r="E15" i="788"/>
  <c r="E14" i="788"/>
  <c r="E13" i="788"/>
  <c r="E12" i="788"/>
  <c r="E11" i="788"/>
  <c r="G11" i="788" s="1"/>
  <c r="E10" i="788"/>
  <c r="G10" i="788" s="1"/>
  <c r="E9" i="788"/>
  <c r="E8" i="788"/>
  <c r="G8" i="788" s="1"/>
  <c r="E7" i="788"/>
  <c r="A48" i="786"/>
  <c r="A47" i="786"/>
  <c r="E42" i="786"/>
  <c r="C42" i="786"/>
  <c r="F32" i="786"/>
  <c r="C28" i="786"/>
  <c r="G27" i="786"/>
  <c r="C27" i="786"/>
  <c r="E17" i="786"/>
  <c r="E16" i="786"/>
  <c r="E15" i="786"/>
  <c r="E14" i="786"/>
  <c r="E13" i="786"/>
  <c r="E12" i="786"/>
  <c r="E11" i="786"/>
  <c r="E10" i="786"/>
  <c r="J9" i="786"/>
  <c r="A48" i="818"/>
  <c r="A47" i="818"/>
  <c r="E42" i="818"/>
  <c r="C42" i="818"/>
  <c r="F32" i="818"/>
  <c r="C28" i="818"/>
  <c r="G27" i="818"/>
  <c r="C27" i="818"/>
  <c r="F18" i="818"/>
  <c r="C18" i="818"/>
  <c r="C4" i="818" s="1"/>
  <c r="C29" i="818" s="1"/>
  <c r="E17" i="818"/>
  <c r="E16" i="818"/>
  <c r="E15" i="818"/>
  <c r="E14" i="818"/>
  <c r="J13" i="818"/>
  <c r="J12" i="818"/>
  <c r="J11" i="818"/>
  <c r="J10" i="818"/>
  <c r="A48" i="787"/>
  <c r="A47" i="787"/>
  <c r="E42" i="787"/>
  <c r="C42" i="787"/>
  <c r="F32" i="787"/>
  <c r="C28" i="787"/>
  <c r="G27" i="787"/>
  <c r="C27" i="787"/>
  <c r="F18" i="787"/>
  <c r="C18" i="787"/>
  <c r="C4" i="787" s="1"/>
  <c r="C29" i="787" s="1"/>
  <c r="E17" i="787"/>
  <c r="E16" i="787"/>
  <c r="E15" i="787"/>
  <c r="J13" i="787"/>
  <c r="J12" i="787"/>
  <c r="J11" i="787"/>
  <c r="J10" i="787"/>
  <c r="J9" i="787"/>
  <c r="A48" i="785"/>
  <c r="A47" i="785"/>
  <c r="E42" i="785"/>
  <c r="C42" i="785"/>
  <c r="F32" i="785"/>
  <c r="C28" i="785"/>
  <c r="G27" i="785"/>
  <c r="C27" i="785"/>
  <c r="F18" i="785"/>
  <c r="C18" i="785"/>
  <c r="E17" i="785"/>
  <c r="E16" i="785"/>
  <c r="E15" i="785"/>
  <c r="E14" i="785"/>
  <c r="E13" i="785"/>
  <c r="G13" i="785" s="1"/>
  <c r="J13" i="785" s="1"/>
  <c r="J11" i="785"/>
  <c r="J10" i="785"/>
  <c r="J9" i="785"/>
  <c r="E7" i="785"/>
  <c r="J9" i="854" l="1"/>
  <c r="F42" i="854"/>
  <c r="G32" i="854"/>
  <c r="G42" i="854" s="1"/>
  <c r="G17" i="854"/>
  <c r="J17" i="854" s="1"/>
  <c r="G16" i="854"/>
  <c r="J16" i="854" s="1"/>
  <c r="G15" i="854"/>
  <c r="J15" i="854" s="1"/>
  <c r="G14" i="854"/>
  <c r="J14" i="854" s="1"/>
  <c r="G13" i="854"/>
  <c r="J13" i="854" s="1"/>
  <c r="G12" i="854"/>
  <c r="J12" i="854" s="1"/>
  <c r="G11" i="854"/>
  <c r="J11" i="854" s="1"/>
  <c r="F42" i="850"/>
  <c r="G32" i="850"/>
  <c r="G42" i="850" s="1"/>
  <c r="G17" i="850"/>
  <c r="J17" i="850" s="1"/>
  <c r="G16" i="850"/>
  <c r="J16" i="850" s="1"/>
  <c r="G15" i="850"/>
  <c r="J15" i="850" s="1"/>
  <c r="G14" i="850"/>
  <c r="J14" i="850" s="1"/>
  <c r="G13" i="850"/>
  <c r="J13" i="850" s="1"/>
  <c r="G12" i="850"/>
  <c r="J12" i="850" s="1"/>
  <c r="G11" i="850"/>
  <c r="J11" i="850" s="1"/>
  <c r="G10" i="850"/>
  <c r="J10" i="850" s="1"/>
  <c r="G9" i="850"/>
  <c r="E18" i="850"/>
  <c r="J7" i="850"/>
  <c r="F42" i="849"/>
  <c r="G32" i="849"/>
  <c r="G42" i="849" s="1"/>
  <c r="G17" i="849"/>
  <c r="J17" i="849" s="1"/>
  <c r="G16" i="849"/>
  <c r="J16" i="849" s="1"/>
  <c r="G15" i="849"/>
  <c r="J15" i="849" s="1"/>
  <c r="G14" i="849"/>
  <c r="J14" i="849" s="1"/>
  <c r="G13" i="849"/>
  <c r="J13" i="849" s="1"/>
  <c r="G12" i="849"/>
  <c r="J12" i="849" s="1"/>
  <c r="G11" i="849"/>
  <c r="J11" i="849" s="1"/>
  <c r="G10" i="849"/>
  <c r="J10" i="849" s="1"/>
  <c r="G18" i="849"/>
  <c r="J9" i="849"/>
  <c r="E18" i="849"/>
  <c r="J7" i="849"/>
  <c r="F42" i="848"/>
  <c r="G32" i="848"/>
  <c r="G42" i="848" s="1"/>
  <c r="J17" i="848"/>
  <c r="G17" i="848"/>
  <c r="G16" i="848"/>
  <c r="J16" i="848" s="1"/>
  <c r="G15" i="848"/>
  <c r="J15" i="848" s="1"/>
  <c r="E18" i="848"/>
  <c r="G13" i="848"/>
  <c r="J13" i="848" s="1"/>
  <c r="G12" i="848"/>
  <c r="J12" i="848" s="1"/>
  <c r="G11" i="848"/>
  <c r="J11" i="848" s="1"/>
  <c r="G10" i="848"/>
  <c r="J10" i="848" s="1"/>
  <c r="G9" i="848"/>
  <c r="G32" i="847"/>
  <c r="G42" i="847" s="1"/>
  <c r="F42" i="847"/>
  <c r="G17" i="847"/>
  <c r="J17" i="847" s="1"/>
  <c r="G16" i="847"/>
  <c r="J16" i="847" s="1"/>
  <c r="J14" i="847"/>
  <c r="G14" i="847"/>
  <c r="G13" i="847"/>
  <c r="J13" i="847" s="1"/>
  <c r="G12" i="847"/>
  <c r="J12" i="847" s="1"/>
  <c r="G11" i="847"/>
  <c r="J11" i="847" s="1"/>
  <c r="G10" i="847"/>
  <c r="J10" i="847" s="1"/>
  <c r="G9" i="847"/>
  <c r="E18" i="847"/>
  <c r="J7" i="847"/>
  <c r="G17" i="846"/>
  <c r="J17" i="846" s="1"/>
  <c r="G16" i="846"/>
  <c r="J16" i="846" s="1"/>
  <c r="G15" i="846"/>
  <c r="J15" i="846" s="1"/>
  <c r="G14" i="846"/>
  <c r="J14" i="846" s="1"/>
  <c r="G13" i="846"/>
  <c r="J13" i="846" s="1"/>
  <c r="G12" i="846"/>
  <c r="J12" i="846" s="1"/>
  <c r="G11" i="846"/>
  <c r="J11" i="846" s="1"/>
  <c r="G10" i="846"/>
  <c r="J10" i="846" s="1"/>
  <c r="G18" i="846"/>
  <c r="J8" i="846"/>
  <c r="E18" i="846"/>
  <c r="J7" i="846"/>
  <c r="C4" i="789"/>
  <c r="C29" i="789" s="1"/>
  <c r="J8" i="786"/>
  <c r="J8" i="785"/>
  <c r="C4" i="785"/>
  <c r="C29" i="785" s="1"/>
  <c r="J9" i="789"/>
  <c r="E18" i="818"/>
  <c r="G32" i="790"/>
  <c r="G42" i="790" s="1"/>
  <c r="F42" i="790"/>
  <c r="G17" i="790"/>
  <c r="J17" i="790" s="1"/>
  <c r="G16" i="790"/>
  <c r="J16" i="790"/>
  <c r="G15" i="790"/>
  <c r="J15" i="790"/>
  <c r="G14" i="790"/>
  <c r="J14" i="790"/>
  <c r="G13" i="790"/>
  <c r="J13" i="790"/>
  <c r="G12" i="790"/>
  <c r="J12" i="790"/>
  <c r="G11" i="790"/>
  <c r="J11" i="790" s="1"/>
  <c r="G10" i="790"/>
  <c r="J10" i="790"/>
  <c r="J9" i="790"/>
  <c r="J8" i="790"/>
  <c r="G18" i="790"/>
  <c r="J7" i="790"/>
  <c r="F18" i="790"/>
  <c r="F42" i="789"/>
  <c r="G32" i="789"/>
  <c r="G42" i="789" s="1"/>
  <c r="G17" i="789"/>
  <c r="J17" i="789"/>
  <c r="G16" i="789"/>
  <c r="J16" i="789" s="1"/>
  <c r="G15" i="789"/>
  <c r="J15" i="789" s="1"/>
  <c r="G14" i="789"/>
  <c r="J14" i="789"/>
  <c r="G13" i="789"/>
  <c r="J13" i="789" s="1"/>
  <c r="G12" i="789"/>
  <c r="J12" i="789" s="1"/>
  <c r="G11" i="789"/>
  <c r="J11" i="789" s="1"/>
  <c r="J8" i="789"/>
  <c r="E18" i="789"/>
  <c r="F42" i="788"/>
  <c r="G32" i="788"/>
  <c r="G42" i="788" s="1"/>
  <c r="G17" i="788"/>
  <c r="J17" i="788" s="1"/>
  <c r="G16" i="788"/>
  <c r="J16" i="788" s="1"/>
  <c r="G15" i="788"/>
  <c r="J15" i="788" s="1"/>
  <c r="G14" i="788"/>
  <c r="J14" i="788" s="1"/>
  <c r="G13" i="788"/>
  <c r="J13" i="788" s="1"/>
  <c r="G12" i="788"/>
  <c r="J12" i="788" s="1"/>
  <c r="J11" i="788"/>
  <c r="J10" i="788"/>
  <c r="J9" i="788"/>
  <c r="J8" i="788"/>
  <c r="E18" i="788"/>
  <c r="J7" i="788"/>
  <c r="G32" i="786"/>
  <c r="G42" i="786" s="1"/>
  <c r="F42" i="786"/>
  <c r="G17" i="786"/>
  <c r="J17" i="786" s="1"/>
  <c r="G16" i="786"/>
  <c r="J16" i="786" s="1"/>
  <c r="G15" i="786"/>
  <c r="J15" i="786" s="1"/>
  <c r="G14" i="786"/>
  <c r="J14" i="786" s="1"/>
  <c r="G13" i="786"/>
  <c r="J13" i="786"/>
  <c r="G12" i="786"/>
  <c r="J12" i="786"/>
  <c r="G11" i="786"/>
  <c r="J11" i="786" s="1"/>
  <c r="G10" i="786"/>
  <c r="J10" i="786" s="1"/>
  <c r="E18" i="786"/>
  <c r="F42" i="818"/>
  <c r="G32" i="818"/>
  <c r="G42" i="818" s="1"/>
  <c r="G17" i="818"/>
  <c r="J17" i="818" s="1"/>
  <c r="G16" i="818"/>
  <c r="J16" i="818" s="1"/>
  <c r="G15" i="818"/>
  <c r="J15" i="818" s="1"/>
  <c r="G14" i="818"/>
  <c r="F42" i="787"/>
  <c r="G32" i="787"/>
  <c r="G42" i="787" s="1"/>
  <c r="G17" i="787"/>
  <c r="J17" i="787" s="1"/>
  <c r="G16" i="787"/>
  <c r="J16" i="787" s="1"/>
  <c r="G15" i="787"/>
  <c r="J15" i="787" s="1"/>
  <c r="J14" i="787"/>
  <c r="F42" i="785"/>
  <c r="G32" i="785"/>
  <c r="G42" i="785" s="1"/>
  <c r="G17" i="785"/>
  <c r="J17" i="785" s="1"/>
  <c r="G16" i="785"/>
  <c r="J16" i="785" s="1"/>
  <c r="G15" i="785"/>
  <c r="J15" i="785" s="1"/>
  <c r="G14" i="785"/>
  <c r="J14" i="785" s="1"/>
  <c r="G12" i="785"/>
  <c r="J12" i="785" s="1"/>
  <c r="J7" i="818"/>
  <c r="G8" i="787"/>
  <c r="J8" i="787" s="1"/>
  <c r="E18" i="787"/>
  <c r="J7" i="787"/>
  <c r="E18" i="785"/>
  <c r="G7" i="785"/>
  <c r="J18" i="854" l="1"/>
  <c r="J7" i="854"/>
  <c r="G18" i="850"/>
  <c r="J18" i="850" s="1"/>
  <c r="J9" i="850"/>
  <c r="J18" i="849"/>
  <c r="G18" i="848"/>
  <c r="J18" i="848" s="1"/>
  <c r="J9" i="848"/>
  <c r="G18" i="847"/>
  <c r="J18" i="847" s="1"/>
  <c r="J9" i="847"/>
  <c r="J18" i="846"/>
  <c r="J14" i="818"/>
  <c r="G18" i="818"/>
  <c r="J18" i="818" s="1"/>
  <c r="G18" i="788"/>
  <c r="J18" i="788" s="1"/>
  <c r="J18" i="790"/>
  <c r="C4" i="790"/>
  <c r="C29" i="790" s="1"/>
  <c r="G18" i="789"/>
  <c r="J18" i="789" s="1"/>
  <c r="J7" i="789"/>
  <c r="G18" i="786"/>
  <c r="J7" i="786"/>
  <c r="G18" i="787"/>
  <c r="J18" i="787" s="1"/>
  <c r="G18" i="785"/>
  <c r="J18" i="785" s="1"/>
  <c r="J7" i="785"/>
  <c r="J18" i="786" l="1"/>
  <c r="C4" i="786"/>
  <c r="C29" i="786" s="1"/>
</calcChain>
</file>

<file path=xl/sharedStrings.xml><?xml version="1.0" encoding="utf-8"?>
<sst xmlns="http://schemas.openxmlformats.org/spreadsheetml/2006/main" count="724" uniqueCount="94">
  <si>
    <t>HAZARDOUS WASTE BREAKDOWN</t>
  </si>
  <si>
    <t>Client:</t>
  </si>
  <si>
    <t>ASTEC LTI</t>
  </si>
  <si>
    <t>Hauling Date:</t>
  </si>
  <si>
    <t>Manifest No. :</t>
  </si>
  <si>
    <t xml:space="preserve">Recycling Cert. No. : </t>
  </si>
  <si>
    <t>Quantity:</t>
  </si>
  <si>
    <t>Kgs.</t>
  </si>
  <si>
    <t>MRR No. :</t>
  </si>
  <si>
    <t>No.</t>
  </si>
  <si>
    <t>Item Description</t>
  </si>
  <si>
    <t>Quantity (Kgs.)</t>
  </si>
  <si>
    <t>Percentage recovery</t>
  </si>
  <si>
    <t>Haz. Waste</t>
  </si>
  <si>
    <t>Local TSD</t>
  </si>
  <si>
    <t>Non Haz.</t>
  </si>
  <si>
    <t>Remarks</t>
  </si>
  <si>
    <t>TOTAL</t>
  </si>
  <si>
    <t xml:space="preserve"> </t>
  </si>
  <si>
    <t>Prepared by:</t>
  </si>
  <si>
    <t>Checked &amp; Approved by:</t>
  </si>
  <si>
    <t>APRILYN J. ROGADOR</t>
  </si>
  <si>
    <t>Capacitor (BIG)</t>
  </si>
  <si>
    <t>Checked by:</t>
  </si>
  <si>
    <t>Approved by:</t>
  </si>
  <si>
    <t>HIROTO MATSUMIYA</t>
  </si>
  <si>
    <t>Sales Supervisor</t>
  </si>
  <si>
    <t>Sales Manager</t>
  </si>
  <si>
    <t>PWB Mounted C</t>
  </si>
  <si>
    <t>ASTEC CEZ</t>
  </si>
  <si>
    <t>N/A</t>
  </si>
  <si>
    <t>PWB Crushed</t>
  </si>
  <si>
    <t>Assorted E-waste</t>
  </si>
  <si>
    <t>TSUKIDEN</t>
  </si>
  <si>
    <t>PRINCE JOHN  JOHAN ARAGON</t>
  </si>
  <si>
    <t>Documentation Staff</t>
  </si>
  <si>
    <t>PRINCE JOHN JOHAN F. ARAGON</t>
  </si>
  <si>
    <t>PRINCE JOHN JOHAN ARAGON</t>
  </si>
  <si>
    <t>PRINT SA SCRATCH</t>
  </si>
  <si>
    <t>PWB W/Copper 20%</t>
  </si>
  <si>
    <t>PWB W/Copper C</t>
  </si>
  <si>
    <t>Mix Components</t>
  </si>
  <si>
    <t>Asst. Admin/Technical Manager</t>
  </si>
  <si>
    <t>PWB W/Coopper 20%</t>
  </si>
  <si>
    <t>PWB W/ Cu  C</t>
  </si>
  <si>
    <t>M-R4A-2026-07-627509</t>
  </si>
  <si>
    <t>BROTHER</t>
  </si>
  <si>
    <t>M-R4A-2026-07-627565</t>
  </si>
  <si>
    <t>R-942</t>
  </si>
  <si>
    <t>NIDEC</t>
  </si>
  <si>
    <t>M-R4A-2026-07-628415</t>
  </si>
  <si>
    <t>PWB W/Copper B</t>
  </si>
  <si>
    <t>M-R4A-2026-07-628448</t>
  </si>
  <si>
    <t>M-R4A-2026-07-628498</t>
  </si>
  <si>
    <t>M-R4A-2026-07-629229</t>
  </si>
  <si>
    <t>R-943</t>
  </si>
  <si>
    <t>M-R4A-2026-07-629382</t>
  </si>
  <si>
    <t>M-R4A-2026-07-629475</t>
  </si>
  <si>
    <t xml:space="preserve">15472 , 15473 </t>
  </si>
  <si>
    <t>PWB Mounted Crushed</t>
  </si>
  <si>
    <t>R-944</t>
  </si>
  <si>
    <t>DENSO</t>
  </si>
  <si>
    <t>M-R4A-2026-07-629271</t>
  </si>
  <si>
    <t>MRR Total is 4,017</t>
  </si>
  <si>
    <t>NOTE: First Manifest is 2, 010.00</t>
  </si>
  <si>
    <t>Second Manifest is 2, 007.00</t>
  </si>
  <si>
    <t>M-R4A-2026-07-629252</t>
  </si>
  <si>
    <r>
      <rPr>
        <b/>
        <sz val="10"/>
        <color rgb="FFFF0000"/>
        <rFont val="Calibri"/>
        <family val="2"/>
        <scheme val="minor"/>
      </rPr>
      <t>NOTE:</t>
    </r>
    <r>
      <rPr>
        <sz val="10"/>
        <color rgb="FFFF0000"/>
        <rFont val="Calibri"/>
        <family val="2"/>
        <scheme val="minor"/>
      </rPr>
      <t xml:space="preserve"> First Manifest is 2, 010.00</t>
    </r>
  </si>
  <si>
    <t>M-R4A-2026-07-630199</t>
  </si>
  <si>
    <t>M-R4A-2026-07-630515</t>
  </si>
  <si>
    <t>PWB  W/Copper C</t>
  </si>
  <si>
    <t>R-945</t>
  </si>
  <si>
    <t>{{CLIENT}}</t>
  </si>
  <si>
    <t>{{MANIFEST}}</t>
  </si>
  <si>
    <t>{{QUANTITY}}</t>
  </si>
  <si>
    <t>{{DATE}}</t>
  </si>
  <si>
    <t>{{MRR_NO}}</t>
  </si>
  <si>
    <t>{{DESCRIPTION}}</t>
  </si>
  <si>
    <t>{{QTY}}</t>
  </si>
  <si>
    <t>{{PERCENTAGE}}%</t>
  </si>
  <si>
    <t>{{HAZ_WASTE}}</t>
  </si>
  <si>
    <t>{{LOCAL_TSD}}</t>
  </si>
  <si>
    <t>{{NON_HAZ}}</t>
  </si>
  <si>
    <t>{{REMARKS}}</t>
  </si>
  <si>
    <t>{{TOTAL_QTY}}</t>
  </si>
  <si>
    <t>{{TOTAL_HAZ_WASTE}}</t>
  </si>
  <si>
    <t>{{TOTAL_LOCAL_TSD}}</t>
  </si>
  <si>
    <t>{{TOTAL_NON_HAZ}}</t>
  </si>
  <si>
    <t>{{CHECKED_APPROVED_BY}}</t>
  </si>
  <si>
    <t>{{CHECKED_APPROVED_POSITION}}</t>
  </si>
  <si>
    <t>{{PREPARED_BY}}</t>
  </si>
  <si>
    <t xml:space="preserve"> {{PREPARED_POSITION}}</t>
  </si>
  <si>
    <t>NOTE: The "PRINT" button prints directly, Please verify the document first. &lt;3</t>
  </si>
  <si>
    <t>{{RECYCLE}}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</si>
</sst>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.00_-;\-* #,##0.00_-;_-* &quot;-&quot;??_-;_-@_-"/>
    <numFmt numFmtId="165" formatCode="[$-409]d\-mmm\-yy;@"/>
  </numFmts>
  <fonts count="24">
    <font>
      <sz val="11"/>
      <color theme="1"/>
      <name val="Calibri"/>
      <charset val="134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i/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5"/>
      <name val="Calibri"/>
      <family val="2"/>
      <scheme val="minor"/>
    </font>
    <font>
      <sz val="14"/>
      <color rgb="FF0000FF"/>
      <name val="Calibri"/>
      <family val="2"/>
      <scheme val="minor"/>
    </font>
    <font>
      <sz val="13"/>
      <name val="Calibri"/>
      <family val="2"/>
      <scheme val="minor"/>
    </font>
    <font>
      <i/>
      <sz val="14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13">
    <xf numFmtId="0" fontId="0" fillId="0" borderId="0" xfId="0"/>
    <xf numFmtId="0" fontId="1" fillId="0" borderId="0" xfId="0" applyFont="1"/>
    <xf numFmtId="0" fontId="2" fillId="0" borderId="0" xfId="0" applyFont="1"/>
    <xf numFmtId="43" fontId="0" fillId="0" borderId="0" xfId="1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0" borderId="0" xfId="0" applyFont="1" applyAlignment="1">
      <alignment vertical="center"/>
    </xf>
    <xf numFmtId="0" fontId="5" fillId="0" borderId="0" xfId="0" applyFont="1"/>
    <xf numFmtId="4" fontId="2" fillId="0" borderId="2" xfId="1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vertical="center"/>
    </xf>
    <xf numFmtId="0" fontId="2" fillId="0" borderId="0" xfId="0" applyFont="1" applyAlignment="1">
      <alignment horizontal="left"/>
    </xf>
    <xf numFmtId="43" fontId="4" fillId="0" borderId="0" xfId="1" applyFont="1"/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43" fontId="4" fillId="0" borderId="3" xfId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43" fontId="6" fillId="0" borderId="3" xfId="1" applyFont="1" applyBorder="1" applyAlignment="1">
      <alignment horizontal="center" vertical="center"/>
    </xf>
    <xf numFmtId="10" fontId="6" fillId="0" borderId="3" xfId="1" applyNumberFormat="1" applyFont="1" applyBorder="1" applyAlignment="1">
      <alignment horizontal="right" vertical="center"/>
    </xf>
    <xf numFmtId="43" fontId="2" fillId="3" borderId="3" xfId="1" applyFont="1" applyFill="1" applyBorder="1" applyAlignment="1">
      <alignment horizontal="right" vertical="center"/>
    </xf>
    <xf numFmtId="43" fontId="2" fillId="3" borderId="3" xfId="1" applyFont="1" applyFill="1" applyBorder="1" applyAlignment="1">
      <alignment vertical="center"/>
    </xf>
    <xf numFmtId="43" fontId="7" fillId="3" borderId="3" xfId="0" applyNumberFormat="1" applyFont="1" applyFill="1" applyBorder="1" applyAlignment="1">
      <alignment vertical="center" wrapText="1"/>
    </xf>
    <xf numFmtId="164" fontId="2" fillId="0" borderId="0" xfId="0" applyNumberFormat="1" applyFont="1"/>
    <xf numFmtId="43" fontId="8" fillId="3" borderId="3" xfId="0" applyNumberFormat="1" applyFont="1" applyFill="1" applyBorder="1" applyAlignment="1">
      <alignment vertical="top" wrapText="1"/>
    </xf>
    <xf numFmtId="43" fontId="8" fillId="3" borderId="3" xfId="0" applyNumberFormat="1" applyFont="1" applyFill="1" applyBorder="1" applyAlignment="1">
      <alignment vertical="center" wrapText="1"/>
    </xf>
    <xf numFmtId="10" fontId="2" fillId="0" borderId="3" xfId="2" applyNumberFormat="1" applyFont="1" applyBorder="1" applyAlignment="1">
      <alignment horizontal="right" vertical="center"/>
    </xf>
    <xf numFmtId="43" fontId="8" fillId="0" borderId="3" xfId="0" applyNumberFormat="1" applyFont="1" applyBorder="1" applyAlignment="1">
      <alignment vertical="center" wrapText="1"/>
    </xf>
    <xf numFmtId="2" fontId="6" fillId="0" borderId="3" xfId="0" applyNumberFormat="1" applyFont="1" applyBorder="1"/>
    <xf numFmtId="10" fontId="6" fillId="0" borderId="3" xfId="1" applyNumberFormat="1" applyFont="1" applyBorder="1" applyAlignment="1">
      <alignment vertical="center"/>
    </xf>
    <xf numFmtId="43" fontId="9" fillId="0" borderId="3" xfId="0" applyNumberFormat="1" applyFont="1" applyBorder="1" applyAlignment="1">
      <alignment vertical="center" wrapText="1"/>
    </xf>
    <xf numFmtId="0" fontId="10" fillId="0" borderId="3" xfId="0" applyFont="1" applyBorder="1" applyAlignment="1">
      <alignment horizontal="left" vertical="center"/>
    </xf>
    <xf numFmtId="43" fontId="2" fillId="0" borderId="0" xfId="1" applyFont="1"/>
    <xf numFmtId="10" fontId="2" fillId="0" borderId="3" xfId="1" applyNumberFormat="1" applyFont="1" applyBorder="1" applyAlignment="1">
      <alignment vertical="center"/>
    </xf>
    <xf numFmtId="0" fontId="10" fillId="0" borderId="3" xfId="0" applyFont="1" applyBorder="1"/>
    <xf numFmtId="2" fontId="2" fillId="0" borderId="3" xfId="0" applyNumberFormat="1" applyFont="1" applyBorder="1"/>
    <xf numFmtId="0" fontId="11" fillId="0" borderId="3" xfId="0" applyFont="1" applyBorder="1" applyAlignment="1">
      <alignment horizontal="center" vertical="center"/>
    </xf>
    <xf numFmtId="43" fontId="12" fillId="0" borderId="3" xfId="1" applyFont="1" applyBorder="1" applyAlignment="1">
      <alignment horizontal="right" vertical="center"/>
    </xf>
    <xf numFmtId="9" fontId="11" fillId="0" borderId="3" xfId="2" applyFont="1" applyBorder="1" applyAlignment="1">
      <alignment horizontal="center" vertical="center"/>
    </xf>
    <xf numFmtId="43" fontId="11" fillId="0" borderId="3" xfId="0" applyNumberFormat="1" applyFont="1" applyBorder="1" applyAlignment="1">
      <alignment horizontal="right" vertical="center"/>
    </xf>
    <xf numFmtId="43" fontId="11" fillId="0" borderId="3" xfId="0" applyNumberFormat="1" applyFont="1" applyBorder="1" applyAlignment="1">
      <alignment horizontal="center" vertical="center"/>
    </xf>
    <xf numFmtId="43" fontId="11" fillId="0" borderId="3" xfId="1" applyFont="1" applyBorder="1" applyAlignment="1">
      <alignment horizontal="center" vertical="center"/>
    </xf>
    <xf numFmtId="43" fontId="13" fillId="0" borderId="3" xfId="0" applyNumberFormat="1" applyFont="1" applyBorder="1" applyAlignment="1">
      <alignment horizontal="center" vertical="center" wrapText="1"/>
    </xf>
    <xf numFmtId="164" fontId="0" fillId="4" borderId="0" xfId="0" applyNumberFormat="1" applyFill="1"/>
    <xf numFmtId="0" fontId="14" fillId="0" borderId="0" xfId="0" applyFont="1" applyAlignment="1">
      <alignment horizontal="left"/>
    </xf>
    <xf numFmtId="0" fontId="15" fillId="0" borderId="0" xfId="0" applyFont="1"/>
    <xf numFmtId="43" fontId="15" fillId="0" borderId="0" xfId="1" applyFont="1" applyAlignment="1">
      <alignment horizontal="left"/>
    </xf>
    <xf numFmtId="43" fontId="15" fillId="0" borderId="0" xfId="1" applyFont="1" applyAlignment="1">
      <alignment horizontal="right"/>
    </xf>
    <xf numFmtId="43" fontId="15" fillId="0" borderId="0" xfId="1" applyFont="1"/>
    <xf numFmtId="0" fontId="16" fillId="0" borderId="0" xfId="0" applyFont="1"/>
    <xf numFmtId="0" fontId="8" fillId="0" borderId="0" xfId="0" applyFont="1"/>
    <xf numFmtId="0" fontId="0" fillId="0" borderId="4" xfId="0" applyBorder="1"/>
    <xf numFmtId="43" fontId="0" fillId="0" borderId="4" xfId="1" applyFont="1" applyBorder="1"/>
    <xf numFmtId="0" fontId="2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3" fontId="6" fillId="0" borderId="5" xfId="1" applyFont="1" applyBorder="1" applyAlignment="1">
      <alignment horizontal="center" vertical="center"/>
    </xf>
    <xf numFmtId="10" fontId="4" fillId="0" borderId="5" xfId="2" applyNumberFormat="1" applyFont="1" applyBorder="1" applyAlignment="1">
      <alignment horizontal="right" vertical="center"/>
    </xf>
    <xf numFmtId="43" fontId="4" fillId="0" borderId="5" xfId="1" applyFont="1" applyBorder="1" applyAlignment="1">
      <alignment horizontal="right" vertical="center"/>
    </xf>
    <xf numFmtId="43" fontId="8" fillId="0" borderId="7" xfId="0" applyNumberFormat="1" applyFont="1" applyBorder="1" applyAlignment="1">
      <alignment horizontal="center" vertical="center" wrapText="1"/>
    </xf>
    <xf numFmtId="10" fontId="17" fillId="0" borderId="5" xfId="2" applyNumberFormat="1" applyFont="1" applyBorder="1" applyAlignment="1">
      <alignment horizontal="right" vertical="center"/>
    </xf>
    <xf numFmtId="43" fontId="9" fillId="0" borderId="6" xfId="0" applyNumberFormat="1" applyFont="1" applyBorder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0" fontId="6" fillId="0" borderId="5" xfId="2" applyNumberFormat="1" applyFont="1" applyBorder="1" applyAlignment="1">
      <alignment horizontal="right" vertical="center"/>
    </xf>
    <xf numFmtId="43" fontId="2" fillId="0" borderId="5" xfId="1" applyFont="1" applyBorder="1" applyAlignment="1">
      <alignment horizontal="right" vertical="center"/>
    </xf>
    <xf numFmtId="43" fontId="6" fillId="0" borderId="6" xfId="1" applyFont="1" applyBorder="1" applyAlignment="1">
      <alignment horizontal="center" vertical="center"/>
    </xf>
    <xf numFmtId="0" fontId="18" fillId="0" borderId="6" xfId="0" applyFont="1" applyBorder="1" applyAlignment="1">
      <alignment horizontal="left" vertical="center"/>
    </xf>
    <xf numFmtId="43" fontId="18" fillId="0" borderId="6" xfId="1" applyFont="1" applyBorder="1" applyAlignment="1">
      <alignment horizontal="center" vertical="center"/>
    </xf>
    <xf numFmtId="10" fontId="2" fillId="0" borderId="5" xfId="2" applyNumberFormat="1" applyFont="1" applyBorder="1" applyAlignment="1">
      <alignment horizontal="right" vertical="center"/>
    </xf>
    <xf numFmtId="0" fontId="18" fillId="0" borderId="6" xfId="0" applyFont="1" applyBorder="1" applyAlignment="1">
      <alignment horizontal="left" vertical="center" wrapText="1"/>
    </xf>
    <xf numFmtId="43" fontId="9" fillId="0" borderId="8" xfId="0" applyNumberFormat="1" applyFont="1" applyBorder="1" applyAlignment="1">
      <alignment vertical="center" wrapText="1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right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43" fontId="0" fillId="0" borderId="0" xfId="1" applyFont="1" applyBorder="1"/>
    <xf numFmtId="0" fontId="2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43" fontId="6" fillId="0" borderId="0" xfId="1" applyFont="1" applyFill="1" applyBorder="1" applyAlignment="1">
      <alignment horizontal="center" vertical="center"/>
    </xf>
    <xf numFmtId="10" fontId="2" fillId="0" borderId="0" xfId="2" applyNumberFormat="1" applyFont="1" applyFill="1" applyBorder="1" applyAlignment="1">
      <alignment horizontal="right" vertical="center"/>
    </xf>
    <xf numFmtId="43" fontId="2" fillId="0" borderId="0" xfId="1" applyFont="1" applyFill="1" applyBorder="1" applyAlignment="1">
      <alignment horizontal="right" vertical="center"/>
    </xf>
    <xf numFmtId="43" fontId="8" fillId="0" borderId="0" xfId="0" applyNumberFormat="1" applyFont="1" applyAlignment="1">
      <alignment vertical="center" wrapText="1"/>
    </xf>
    <xf numFmtId="0" fontId="6" fillId="0" borderId="0" xfId="0" applyFont="1" applyAlignment="1">
      <alignment horizontal="left" vertical="center"/>
    </xf>
    <xf numFmtId="43" fontId="20" fillId="0" borderId="0" xfId="0" applyNumberFormat="1" applyFont="1" applyAlignment="1">
      <alignment vertical="center" wrapText="1"/>
    </xf>
    <xf numFmtId="43" fontId="9" fillId="0" borderId="0" xfId="0" applyNumberFormat="1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2" fillId="0" borderId="0" xfId="1" applyFont="1" applyFill="1" applyBorder="1" applyAlignment="1">
      <alignment horizontal="right" vertical="center"/>
    </xf>
    <xf numFmtId="9" fontId="11" fillId="0" borderId="0" xfId="2" applyFont="1" applyFill="1" applyBorder="1" applyAlignment="1">
      <alignment horizontal="center" vertical="center"/>
    </xf>
    <xf numFmtId="43" fontId="11" fillId="0" borderId="0" xfId="0" applyNumberFormat="1" applyFont="1" applyAlignment="1">
      <alignment horizontal="right" vertical="center"/>
    </xf>
    <xf numFmtId="43" fontId="11" fillId="0" borderId="0" xfId="0" applyNumberFormat="1" applyFont="1" applyAlignment="1">
      <alignment horizontal="center" vertical="center"/>
    </xf>
    <xf numFmtId="43" fontId="11" fillId="0" borderId="0" xfId="1" applyFont="1" applyFill="1" applyBorder="1" applyAlignment="1">
      <alignment horizontal="center" vertical="center"/>
    </xf>
    <xf numFmtId="43" fontId="13" fillId="0" borderId="0" xfId="0" applyNumberFormat="1" applyFont="1" applyAlignment="1">
      <alignment horizontal="center" vertical="center" wrapText="1"/>
    </xf>
    <xf numFmtId="43" fontId="15" fillId="0" borderId="0" xfId="1" applyFont="1" applyFill="1" applyBorder="1" applyAlignment="1">
      <alignment horizontal="left"/>
    </xf>
    <xf numFmtId="0" fontId="21" fillId="0" borderId="3" xfId="0" applyFont="1" applyBorder="1" applyAlignment="1">
      <alignment horizontal="left" vertical="center"/>
    </xf>
    <xf numFmtId="0" fontId="21" fillId="0" borderId="3" xfId="0" applyFont="1" applyBorder="1"/>
    <xf numFmtId="0" fontId="2" fillId="0" borderId="2" xfId="1" quotePrefix="1" applyNumberFormat="1" applyFont="1" applyBorder="1" applyAlignment="1">
      <alignment horizontal="center" vertical="center" wrapText="1"/>
    </xf>
    <xf numFmtId="0" fontId="2" fillId="0" borderId="2" xfId="1" applyNumberFormat="1" applyFont="1" applyBorder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2" fillId="0" borderId="1" xfId="0" applyFont="1" applyBorder="1" applyAlignment="1">
      <alignment horizontal="left" vertical="center"/>
    </xf>
    <xf numFmtId="165" fontId="2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14" fillId="0" borderId="0" xfId="0" applyFont="1" applyAlignment="1">
      <alignment horizontal="left"/>
    </xf>
    <xf numFmtId="165" fontId="2" fillId="0" borderId="1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0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43" fontId="6" fillId="0" borderId="0" xfId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3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358589</xdr:colOff>
      <xdr:row>1</xdr:row>
      <xdr:rowOff>22412</xdr:rowOff>
    </xdr:from>
    <xdr:to>
      <xdr:col>10</xdr:col>
      <xdr:colOff>414617</xdr:colOff>
      <xdr:row>4</xdr:row>
      <xdr:rowOff>56029</xdr:rowOff>
    </xdr:to>
    <xdr:sp macro="[0]!PrintPI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98DB303-9FE4-E280-41B3-D8EB21368CFA}"/>
            </a:ext>
          </a:extLst>
        </xdr:cNvPr>
        <xdr:cNvSpPr/>
      </xdr:nvSpPr>
      <xdr:spPr>
        <a:xfrm>
          <a:off x="8807824" y="313765"/>
          <a:ext cx="1647264" cy="795617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3600" b="1"/>
            <a:t>PRINT</a:t>
          </a:r>
        </a:p>
      </xdr:txBody>
    </xdr:sp>
    <xdr:clientData/>
  </xdr:twoCellAnchor>
  <xdr:twoCellAnchor>
    <xdr:from>
      <xdr:col>10</xdr:col>
      <xdr:colOff>488577</xdr:colOff>
      <xdr:row>1</xdr:row>
      <xdr:rowOff>17929</xdr:rowOff>
    </xdr:from>
    <xdr:to>
      <xdr:col>13</xdr:col>
      <xdr:colOff>320488</xdr:colOff>
      <xdr:row>4</xdr:row>
      <xdr:rowOff>51546</xdr:rowOff>
    </xdr:to>
    <xdr:sp macro="[0]!SaveAsPDF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539D057-B90D-00A6-2E40-837668077CF0}"/>
            </a:ext>
          </a:extLst>
        </xdr:cNvPr>
        <xdr:cNvSpPr/>
      </xdr:nvSpPr>
      <xdr:spPr>
        <a:xfrm>
          <a:off x="10529048" y="309282"/>
          <a:ext cx="1647264" cy="795617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400" b="1"/>
            <a:t>DOWNLOAD</a:t>
          </a:r>
          <a:r>
            <a:rPr lang="en-PH" sz="1400" b="1" baseline="0"/>
            <a:t> PDF</a:t>
          </a:r>
          <a:endParaRPr lang="en-PH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L71"/>
  <sheetViews>
    <sheetView view="pageBreakPreview" topLeftCell="B1" zoomScaleNormal="70" workbookViewId="0">
      <selection activeCell="G9" sqref="G9"/>
    </sheetView>
  </sheetViews>
  <sheetFormatPr defaultColWidth="9" defaultRowHeight="15"/>
  <cols>
    <col min="1" max="1" width="5.7109375" customWidth="1"/>
    <col min="2" max="2" width="31.42578125" customWidth="1"/>
    <col min="3" max="3" width="15.85546875" customWidth="1"/>
    <col min="4" max="4" width="14.140625" customWidth="1"/>
    <col min="5" max="5" width="15.140625" customWidth="1"/>
    <col min="6" max="6" width="14.5703125" customWidth="1"/>
    <col min="7" max="7" width="14.42578125" style="3" customWidth="1"/>
    <col min="8" max="8" width="15.42578125" customWidth="1"/>
    <col min="10" max="10" width="14.85546875" customWidth="1"/>
  </cols>
  <sheetData>
    <row r="1" spans="1:10" s="1" customFormat="1" ht="23.25">
      <c r="A1" s="97" t="s">
        <v>0</v>
      </c>
      <c r="B1" s="97"/>
      <c r="C1" s="97"/>
      <c r="D1" s="97"/>
      <c r="E1" s="97"/>
      <c r="F1" s="97"/>
      <c r="G1" s="97"/>
      <c r="H1" s="97"/>
    </row>
    <row r="2" spans="1:10" s="1" customFormat="1" ht="21">
      <c r="A2" s="4"/>
      <c r="B2" s="5" t="s">
        <v>1</v>
      </c>
      <c r="C2" s="98" t="s">
        <v>2</v>
      </c>
      <c r="D2" s="98"/>
      <c r="E2" s="5" t="s">
        <v>3</v>
      </c>
      <c r="F2" s="5"/>
      <c r="G2" s="99">
        <v>46204</v>
      </c>
      <c r="H2" s="99"/>
    </row>
    <row r="3" spans="1:10" ht="19.5">
      <c r="A3" s="6"/>
      <c r="B3" s="5" t="s">
        <v>4</v>
      </c>
      <c r="C3" s="100" t="s">
        <v>45</v>
      </c>
      <c r="D3" s="100"/>
      <c r="E3" s="5" t="s">
        <v>5</v>
      </c>
      <c r="F3" s="7"/>
      <c r="G3" s="101" t="s">
        <v>30</v>
      </c>
      <c r="H3" s="101"/>
      <c r="J3" s="8"/>
    </row>
    <row r="4" spans="1:10" ht="19.5">
      <c r="A4" s="6"/>
      <c r="B4" s="5" t="s">
        <v>6</v>
      </c>
      <c r="C4" s="9">
        <f>C18</f>
        <v>1259</v>
      </c>
      <c r="D4" s="10" t="s">
        <v>7</v>
      </c>
      <c r="E4" s="5" t="s">
        <v>8</v>
      </c>
      <c r="F4" s="11"/>
      <c r="G4" s="95">
        <v>15461</v>
      </c>
      <c r="H4" s="96"/>
    </row>
    <row r="5" spans="1:10" ht="6.75" customHeight="1">
      <c r="A5" s="6"/>
      <c r="B5" s="6"/>
      <c r="C5" s="6"/>
      <c r="D5" s="6"/>
      <c r="E5" s="6"/>
      <c r="F5" s="6"/>
      <c r="G5" s="12"/>
      <c r="H5" s="6"/>
    </row>
    <row r="6" spans="1:10" ht="39">
      <c r="A6" s="13" t="s">
        <v>9</v>
      </c>
      <c r="B6" s="13" t="s">
        <v>10</v>
      </c>
      <c r="C6" s="14" t="s">
        <v>11</v>
      </c>
      <c r="D6" s="14" t="s">
        <v>12</v>
      </c>
      <c r="E6" s="14" t="s">
        <v>13</v>
      </c>
      <c r="F6" s="14" t="s">
        <v>14</v>
      </c>
      <c r="G6" s="15" t="s">
        <v>15</v>
      </c>
      <c r="H6" s="14" t="s">
        <v>16</v>
      </c>
    </row>
    <row r="7" spans="1:10" s="2" customFormat="1" ht="20.100000000000001" customHeight="1">
      <c r="A7" s="16">
        <v>1</v>
      </c>
      <c r="B7" s="17" t="s">
        <v>44</v>
      </c>
      <c r="C7" s="18">
        <v>1259</v>
      </c>
      <c r="D7" s="19">
        <v>1</v>
      </c>
      <c r="E7" s="20">
        <f>ROUND(C7*D7,0)</f>
        <v>1259</v>
      </c>
      <c r="F7" s="20">
        <v>0</v>
      </c>
      <c r="G7" s="21">
        <f>C7-E7-F7</f>
        <v>0</v>
      </c>
      <c r="H7" s="22"/>
      <c r="J7" s="23">
        <f t="shared" ref="J7:J18" si="0">E7+F7+G7</f>
        <v>1259</v>
      </c>
    </row>
    <row r="8" spans="1:10" s="2" customFormat="1" ht="20.100000000000001" customHeight="1">
      <c r="A8" s="16">
        <v>2</v>
      </c>
      <c r="B8" s="17"/>
      <c r="C8" s="18"/>
      <c r="D8" s="19"/>
      <c r="E8" s="20">
        <f>C8*D8</f>
        <v>0</v>
      </c>
      <c r="F8" s="20">
        <v>0</v>
      </c>
      <c r="G8" s="21">
        <v>0</v>
      </c>
      <c r="H8" s="24"/>
      <c r="J8" s="23">
        <f t="shared" si="0"/>
        <v>0</v>
      </c>
    </row>
    <row r="9" spans="1:10" s="2" customFormat="1" ht="20.100000000000001" customHeight="1">
      <c r="A9" s="16">
        <v>3</v>
      </c>
      <c r="B9" s="17"/>
      <c r="C9" s="18"/>
      <c r="D9" s="19"/>
      <c r="E9" s="20">
        <v>0</v>
      </c>
      <c r="F9" s="20">
        <v>0</v>
      </c>
      <c r="G9" s="21">
        <v>0</v>
      </c>
      <c r="H9" s="24"/>
      <c r="J9" s="23">
        <f t="shared" si="0"/>
        <v>0</v>
      </c>
    </row>
    <row r="10" spans="1:10" s="2" customFormat="1" ht="20.100000000000001" customHeight="1">
      <c r="A10" s="16">
        <v>4</v>
      </c>
      <c r="B10" s="17"/>
      <c r="C10" s="18"/>
      <c r="D10" s="19"/>
      <c r="E10" s="20">
        <v>0</v>
      </c>
      <c r="F10" s="20">
        <v>0</v>
      </c>
      <c r="G10" s="21">
        <v>0</v>
      </c>
      <c r="H10" s="24"/>
      <c r="J10" s="23">
        <f t="shared" si="0"/>
        <v>0</v>
      </c>
    </row>
    <row r="11" spans="1:10" s="2" customFormat="1" ht="20.100000000000001" customHeight="1">
      <c r="A11" s="16">
        <v>5</v>
      </c>
      <c r="B11" s="17"/>
      <c r="C11" s="18"/>
      <c r="D11" s="19"/>
      <c r="E11" s="20">
        <v>0</v>
      </c>
      <c r="F11" s="20">
        <v>0</v>
      </c>
      <c r="G11" s="21">
        <v>0</v>
      </c>
      <c r="H11" s="25"/>
      <c r="J11" s="23">
        <f t="shared" si="0"/>
        <v>0</v>
      </c>
    </row>
    <row r="12" spans="1:10" s="2" customFormat="1" ht="20.100000000000001" customHeight="1">
      <c r="A12" s="16">
        <v>6</v>
      </c>
      <c r="B12" s="17"/>
      <c r="C12" s="18"/>
      <c r="D12" s="26"/>
      <c r="E12" s="20">
        <v>0</v>
      </c>
      <c r="F12" s="20">
        <v>0</v>
      </c>
      <c r="G12" s="21">
        <f t="shared" ref="G12:G17" si="1">C12-E12-F12</f>
        <v>0</v>
      </c>
      <c r="H12" s="27"/>
      <c r="J12" s="23">
        <f t="shared" si="0"/>
        <v>0</v>
      </c>
    </row>
    <row r="13" spans="1:10" s="2" customFormat="1" ht="19.5" customHeight="1">
      <c r="A13" s="16">
        <v>7</v>
      </c>
      <c r="B13" s="17"/>
      <c r="C13" s="28"/>
      <c r="D13" s="29"/>
      <c r="E13" s="20">
        <f t="shared" ref="E13:E17" si="2">ROUND(C13*D13,0)</f>
        <v>0</v>
      </c>
      <c r="F13" s="20">
        <v>0</v>
      </c>
      <c r="G13" s="21">
        <f t="shared" si="1"/>
        <v>0</v>
      </c>
      <c r="H13" s="30"/>
      <c r="J13" s="23">
        <f t="shared" si="0"/>
        <v>0</v>
      </c>
    </row>
    <row r="14" spans="1:10" s="2" customFormat="1" ht="19.5" customHeight="1">
      <c r="A14" s="16">
        <v>8</v>
      </c>
      <c r="B14" s="17"/>
      <c r="C14" s="28"/>
      <c r="D14" s="29"/>
      <c r="E14" s="20">
        <f t="shared" si="2"/>
        <v>0</v>
      </c>
      <c r="F14" s="20">
        <v>0</v>
      </c>
      <c r="G14" s="21">
        <f t="shared" si="1"/>
        <v>0</v>
      </c>
      <c r="H14" s="30"/>
      <c r="J14" s="23">
        <f t="shared" si="0"/>
        <v>0</v>
      </c>
    </row>
    <row r="15" spans="1:10" s="2" customFormat="1" ht="19.5" customHeight="1">
      <c r="A15" s="16">
        <v>9</v>
      </c>
      <c r="B15" s="31"/>
      <c r="C15" s="32"/>
      <c r="D15" s="33"/>
      <c r="E15" s="20">
        <f t="shared" si="2"/>
        <v>0</v>
      </c>
      <c r="F15" s="20">
        <v>0</v>
      </c>
      <c r="G15" s="21">
        <f t="shared" si="1"/>
        <v>0</v>
      </c>
      <c r="H15" s="30"/>
      <c r="J15" s="23">
        <f t="shared" si="0"/>
        <v>0</v>
      </c>
    </row>
    <row r="16" spans="1:10" s="2" customFormat="1" ht="19.5" customHeight="1">
      <c r="A16" s="16">
        <v>10</v>
      </c>
      <c r="B16" s="34"/>
      <c r="C16" s="35"/>
      <c r="D16" s="33"/>
      <c r="E16" s="20">
        <f t="shared" si="2"/>
        <v>0</v>
      </c>
      <c r="F16" s="20">
        <v>0</v>
      </c>
      <c r="G16" s="21">
        <f t="shared" si="1"/>
        <v>0</v>
      </c>
      <c r="H16" s="30"/>
      <c r="J16" s="23">
        <f t="shared" si="0"/>
        <v>0</v>
      </c>
    </row>
    <row r="17" spans="1:12" s="2" customFormat="1" ht="19.5" customHeight="1">
      <c r="A17" s="16">
        <v>11</v>
      </c>
      <c r="B17" s="34"/>
      <c r="C17" s="35"/>
      <c r="D17" s="33"/>
      <c r="E17" s="20">
        <f t="shared" si="2"/>
        <v>0</v>
      </c>
      <c r="F17" s="20">
        <v>0</v>
      </c>
      <c r="G17" s="21">
        <f t="shared" si="1"/>
        <v>0</v>
      </c>
      <c r="H17" s="30"/>
      <c r="J17" s="23">
        <f t="shared" si="0"/>
        <v>0</v>
      </c>
    </row>
    <row r="18" spans="1:12" ht="19.5">
      <c r="A18" s="13"/>
      <c r="B18" s="36" t="s">
        <v>17</v>
      </c>
      <c r="C18" s="37">
        <f t="shared" ref="C18:G18" si="3">SUM(C7:C17)</f>
        <v>1259</v>
      </c>
      <c r="D18" s="38"/>
      <c r="E18" s="39">
        <f>SUM(E7:E17)</f>
        <v>1259</v>
      </c>
      <c r="F18" s="40">
        <f t="shared" si="3"/>
        <v>0</v>
      </c>
      <c r="G18" s="41">
        <f t="shared" si="3"/>
        <v>0</v>
      </c>
      <c r="H18" s="42"/>
      <c r="J18" s="43">
        <f t="shared" si="0"/>
        <v>1259</v>
      </c>
      <c r="L18" s="8" t="s">
        <v>18</v>
      </c>
    </row>
    <row r="19" spans="1:12" ht="9" customHeight="1">
      <c r="A19" s="44"/>
      <c r="B19" s="44"/>
      <c r="C19" s="44"/>
      <c r="D19" s="44"/>
      <c r="E19" s="44"/>
      <c r="F19" s="44"/>
      <c r="G19" s="44"/>
      <c r="H19" s="44"/>
    </row>
    <row r="20" spans="1:12" ht="15.75">
      <c r="A20" s="45" t="s">
        <v>19</v>
      </c>
      <c r="B20" s="45"/>
      <c r="C20" s="45"/>
      <c r="D20" s="45" t="s">
        <v>20</v>
      </c>
      <c r="E20" s="45"/>
      <c r="F20" s="45"/>
      <c r="G20" s="46"/>
      <c r="H20" s="45"/>
    </row>
    <row r="21" spans="1:12" ht="15.75">
      <c r="A21" s="45"/>
      <c r="B21" s="45"/>
      <c r="C21" s="45"/>
      <c r="D21" s="45"/>
      <c r="E21" s="45"/>
      <c r="F21" s="45"/>
      <c r="G21" s="47"/>
      <c r="H21" s="45"/>
    </row>
    <row r="22" spans="1:12" ht="15.75">
      <c r="A22" s="45"/>
      <c r="B22" s="45"/>
      <c r="C22" s="45"/>
      <c r="D22" s="45"/>
      <c r="E22" s="45"/>
      <c r="F22" s="45"/>
      <c r="G22" s="48"/>
      <c r="H22" s="45"/>
    </row>
    <row r="23" spans="1:12" ht="15.75">
      <c r="A23" s="110" t="s">
        <v>34</v>
      </c>
      <c r="B23" s="110"/>
      <c r="C23" s="45"/>
      <c r="D23" s="49" t="s">
        <v>21</v>
      </c>
      <c r="F23" s="49"/>
      <c r="G23" s="49"/>
    </row>
    <row r="24" spans="1:12" ht="15.75">
      <c r="A24" s="111" t="s">
        <v>35</v>
      </c>
      <c r="B24" s="111"/>
      <c r="C24" s="50"/>
      <c r="D24" s="50" t="s">
        <v>42</v>
      </c>
      <c r="F24" s="50"/>
      <c r="G24" s="50"/>
    </row>
    <row r="25" spans="1:12">
      <c r="A25" s="51"/>
      <c r="B25" s="51"/>
      <c r="C25" s="51"/>
      <c r="D25" s="51"/>
      <c r="E25" s="51"/>
      <c r="F25" s="51"/>
      <c r="G25" s="52"/>
      <c r="H25" s="51"/>
    </row>
    <row r="26" spans="1:12" s="1" customFormat="1" ht="23.25" hidden="1">
      <c r="A26" s="97" t="s">
        <v>0</v>
      </c>
      <c r="B26" s="97"/>
      <c r="C26" s="97"/>
      <c r="D26" s="97"/>
      <c r="E26" s="97"/>
      <c r="F26" s="97"/>
      <c r="G26" s="97"/>
      <c r="H26" s="97"/>
    </row>
    <row r="27" spans="1:12" s="1" customFormat="1" ht="21" hidden="1">
      <c r="A27" s="4"/>
      <c r="B27" s="5" t="s">
        <v>1</v>
      </c>
      <c r="C27" s="98" t="str">
        <f>C2</f>
        <v>ASTEC LTI</v>
      </c>
      <c r="D27" s="98"/>
      <c r="E27" s="5" t="s">
        <v>3</v>
      </c>
      <c r="F27" s="5"/>
      <c r="G27" s="103">
        <f>G2</f>
        <v>46204</v>
      </c>
      <c r="H27" s="103"/>
    </row>
    <row r="28" spans="1:12" ht="19.5" hidden="1">
      <c r="A28" s="6"/>
      <c r="B28" s="5" t="s">
        <v>4</v>
      </c>
      <c r="C28" s="100" t="str">
        <f>C3</f>
        <v>M-R4A-2026-07-627509</v>
      </c>
      <c r="D28" s="104"/>
      <c r="E28" s="5" t="s">
        <v>5</v>
      </c>
      <c r="F28" s="7"/>
      <c r="G28" s="101"/>
      <c r="H28" s="101"/>
    </row>
    <row r="29" spans="1:12" ht="19.5" hidden="1">
      <c r="A29" s="6"/>
      <c r="B29" s="5" t="s">
        <v>6</v>
      </c>
      <c r="C29" s="9">
        <f>C4</f>
        <v>1259</v>
      </c>
      <c r="D29" s="10" t="s">
        <v>7</v>
      </c>
      <c r="E29" s="5" t="s">
        <v>8</v>
      </c>
      <c r="F29" s="11"/>
      <c r="G29" s="101"/>
      <c r="H29" s="101"/>
    </row>
    <row r="30" spans="1:12" ht="19.5" hidden="1">
      <c r="A30" s="6"/>
      <c r="B30" s="6"/>
      <c r="C30" s="6"/>
      <c r="D30" s="6"/>
      <c r="E30" s="6"/>
      <c r="F30" s="6"/>
      <c r="G30" s="12"/>
      <c r="H30" s="6"/>
    </row>
    <row r="31" spans="1:12" ht="39" hidden="1">
      <c r="A31" s="13" t="s">
        <v>9</v>
      </c>
      <c r="B31" s="13" t="s">
        <v>10</v>
      </c>
      <c r="C31" s="14" t="s">
        <v>11</v>
      </c>
      <c r="D31" s="14" t="s">
        <v>12</v>
      </c>
      <c r="E31" s="14" t="s">
        <v>13</v>
      </c>
      <c r="F31" s="14" t="s">
        <v>14</v>
      </c>
      <c r="G31" s="15" t="s">
        <v>15</v>
      </c>
      <c r="H31" s="14" t="s">
        <v>16</v>
      </c>
    </row>
    <row r="32" spans="1:12" s="2" customFormat="1" ht="20.100000000000001" hidden="1" customHeight="1">
      <c r="A32" s="53">
        <v>1</v>
      </c>
      <c r="B32" s="54" t="s">
        <v>22</v>
      </c>
      <c r="C32" s="55">
        <v>566</v>
      </c>
      <c r="D32" s="56">
        <v>1</v>
      </c>
      <c r="E32" s="57">
        <v>0</v>
      </c>
      <c r="F32" s="57">
        <f>C32*D32</f>
        <v>566</v>
      </c>
      <c r="G32" s="57">
        <f>C32-E32-F32</f>
        <v>0</v>
      </c>
      <c r="H32" s="58"/>
    </row>
    <row r="33" spans="1:8" s="2" customFormat="1" ht="20.100000000000001" hidden="1" customHeight="1">
      <c r="A33" s="53">
        <v>2</v>
      </c>
      <c r="B33" s="54"/>
      <c r="C33" s="55"/>
      <c r="D33" s="59"/>
      <c r="E33" s="57"/>
      <c r="F33" s="57"/>
      <c r="G33" s="57"/>
      <c r="H33" s="60"/>
    </row>
    <row r="34" spans="1:8" s="2" customFormat="1" ht="20.100000000000001" hidden="1" customHeight="1">
      <c r="A34" s="53">
        <v>3</v>
      </c>
      <c r="B34" s="61"/>
      <c r="C34" s="55"/>
      <c r="D34" s="62"/>
      <c r="E34" s="63"/>
      <c r="F34" s="63"/>
      <c r="G34" s="63"/>
      <c r="H34" s="60"/>
    </row>
    <row r="35" spans="1:8" s="2" customFormat="1" ht="20.100000000000001" hidden="1" customHeight="1">
      <c r="A35" s="53">
        <v>4</v>
      </c>
      <c r="B35" s="54"/>
      <c r="C35" s="64"/>
      <c r="D35" s="62"/>
      <c r="E35" s="63"/>
      <c r="F35" s="63"/>
      <c r="G35" s="63"/>
      <c r="H35" s="60"/>
    </row>
    <row r="36" spans="1:8" s="2" customFormat="1" ht="20.100000000000001" hidden="1" customHeight="1">
      <c r="A36" s="53">
        <v>5</v>
      </c>
      <c r="B36" s="54"/>
      <c r="C36" s="64"/>
      <c r="D36" s="62"/>
      <c r="E36" s="63"/>
      <c r="F36" s="63"/>
      <c r="G36" s="63"/>
      <c r="H36" s="60"/>
    </row>
    <row r="37" spans="1:8" s="2" customFormat="1" ht="20.100000000000001" hidden="1" customHeight="1">
      <c r="A37" s="53">
        <v>6</v>
      </c>
      <c r="B37" s="65"/>
      <c r="C37" s="66"/>
      <c r="D37" s="67"/>
      <c r="E37" s="63"/>
      <c r="F37" s="63"/>
      <c r="G37" s="63"/>
      <c r="H37" s="60"/>
    </row>
    <row r="38" spans="1:8" s="2" customFormat="1" ht="20.100000000000001" hidden="1" customHeight="1">
      <c r="A38" s="53">
        <v>7</v>
      </c>
      <c r="B38" s="68"/>
      <c r="C38" s="66"/>
      <c r="D38" s="67"/>
      <c r="E38" s="63"/>
      <c r="F38" s="63"/>
      <c r="G38" s="63"/>
      <c r="H38" s="60"/>
    </row>
    <row r="39" spans="1:8" s="2" customFormat="1" ht="20.100000000000001" hidden="1" customHeight="1">
      <c r="A39" s="53">
        <v>8</v>
      </c>
      <c r="B39" s="65"/>
      <c r="C39" s="66"/>
      <c r="D39" s="67"/>
      <c r="E39" s="63"/>
      <c r="F39" s="63"/>
      <c r="G39" s="63"/>
      <c r="H39" s="60"/>
    </row>
    <row r="40" spans="1:8" s="2" customFormat="1" ht="20.100000000000001" hidden="1" customHeight="1">
      <c r="A40" s="53">
        <v>9</v>
      </c>
      <c r="B40" s="65"/>
      <c r="C40" s="66"/>
      <c r="D40" s="67"/>
      <c r="E40" s="63"/>
      <c r="F40" s="63"/>
      <c r="G40" s="63"/>
      <c r="H40" s="60"/>
    </row>
    <row r="41" spans="1:8" s="2" customFormat="1" ht="20.100000000000001" hidden="1" customHeight="1">
      <c r="A41" s="53">
        <v>10</v>
      </c>
      <c r="B41" s="65"/>
      <c r="C41" s="66"/>
      <c r="D41" s="67"/>
      <c r="E41" s="63"/>
      <c r="F41" s="63"/>
      <c r="G41" s="63"/>
      <c r="H41" s="69"/>
    </row>
    <row r="42" spans="1:8" ht="19.5" hidden="1">
      <c r="A42" s="13"/>
      <c r="B42" s="36" t="s">
        <v>17</v>
      </c>
      <c r="C42" s="37">
        <f t="shared" ref="C42:G42" si="4">SUM(C32:C41)</f>
        <v>566</v>
      </c>
      <c r="D42" s="38"/>
      <c r="E42" s="39">
        <f t="shared" si="4"/>
        <v>0</v>
      </c>
      <c r="F42" s="40">
        <f t="shared" si="4"/>
        <v>566</v>
      </c>
      <c r="G42" s="41">
        <f t="shared" si="4"/>
        <v>0</v>
      </c>
      <c r="H42" s="42"/>
    </row>
    <row r="43" spans="1:8" hidden="1"/>
    <row r="44" spans="1:8" ht="15.75" hidden="1">
      <c r="A44" s="45" t="s">
        <v>19</v>
      </c>
      <c r="B44" s="45"/>
      <c r="C44" s="45"/>
      <c r="D44" s="70" t="s">
        <v>23</v>
      </c>
      <c r="E44" s="45"/>
      <c r="F44" s="45"/>
      <c r="G44" s="46" t="s">
        <v>24</v>
      </c>
      <c r="H44" s="45"/>
    </row>
    <row r="45" spans="1:8" ht="15.75" hidden="1">
      <c r="A45" s="45"/>
      <c r="B45" s="45"/>
      <c r="C45" s="45"/>
      <c r="D45" s="71"/>
      <c r="E45" s="45"/>
      <c r="F45" s="45"/>
      <c r="G45" s="47"/>
      <c r="H45" s="45"/>
    </row>
    <row r="46" spans="1:8" ht="15.75" hidden="1">
      <c r="A46" s="45"/>
      <c r="B46" s="45"/>
      <c r="C46" s="45"/>
      <c r="D46" s="45"/>
      <c r="E46" s="45"/>
      <c r="F46" s="45"/>
      <c r="G46" s="48"/>
      <c r="H46" s="45"/>
    </row>
    <row r="47" spans="1:8" ht="15.75" hidden="1">
      <c r="A47" s="72" t="str">
        <f>A23</f>
        <v>PRINCE JOHN  JOHAN ARAGON</v>
      </c>
      <c r="C47" s="45"/>
      <c r="D47" s="49" t="s">
        <v>21</v>
      </c>
      <c r="F47" s="49"/>
      <c r="G47" s="49" t="s">
        <v>25</v>
      </c>
    </row>
    <row r="48" spans="1:8" ht="15.75" hidden="1">
      <c r="A48" s="73" t="str">
        <f>A24</f>
        <v>Documentation Staff</v>
      </c>
      <c r="C48" s="50"/>
      <c r="D48" s="50" t="s">
        <v>26</v>
      </c>
      <c r="F48" s="50"/>
      <c r="G48" s="50" t="s">
        <v>27</v>
      </c>
    </row>
    <row r="49" spans="1:8" ht="15.75" hidden="1">
      <c r="A49" s="45"/>
      <c r="B49" s="45"/>
      <c r="C49" s="45"/>
      <c r="D49" s="45"/>
      <c r="E49" s="45"/>
      <c r="F49" s="45"/>
      <c r="G49" s="48"/>
      <c r="H49" s="45"/>
    </row>
    <row r="50" spans="1:8" hidden="1"/>
    <row r="51" spans="1:8" hidden="1">
      <c r="G51" s="74"/>
    </row>
    <row r="52" spans="1:8" hidden="1">
      <c r="G52" s="74"/>
    </row>
    <row r="53" spans="1:8" ht="23.25">
      <c r="A53" s="105"/>
      <c r="B53" s="105"/>
      <c r="C53" s="105"/>
      <c r="D53" s="105"/>
      <c r="E53" s="105"/>
      <c r="F53" s="105"/>
      <c r="G53" s="105"/>
      <c r="H53" s="105"/>
    </row>
    <row r="54" spans="1:8" ht="18.75">
      <c r="A54" s="75"/>
      <c r="B54" s="76"/>
      <c r="C54" s="77"/>
      <c r="D54" s="78"/>
      <c r="E54" s="79"/>
      <c r="F54" s="79"/>
      <c r="G54" s="79"/>
      <c r="H54" s="80"/>
    </row>
    <row r="55" spans="1:8" ht="18.75">
      <c r="A55" s="75"/>
      <c r="B55" s="76"/>
      <c r="C55" s="77"/>
      <c r="D55" s="78"/>
      <c r="E55" s="79"/>
      <c r="F55" s="79"/>
      <c r="G55" s="79"/>
      <c r="H55" s="80"/>
    </row>
    <row r="56" spans="1:8" ht="18.75">
      <c r="A56" s="75"/>
      <c r="B56" s="76"/>
      <c r="C56" s="77"/>
      <c r="D56" s="78"/>
      <c r="E56" s="79"/>
      <c r="F56" s="79"/>
      <c r="G56" s="79"/>
      <c r="H56" s="80"/>
    </row>
    <row r="57" spans="1:8" ht="18.75">
      <c r="A57" s="75"/>
      <c r="B57" s="76"/>
      <c r="C57" s="77"/>
      <c r="D57" s="78"/>
      <c r="E57" s="79"/>
      <c r="F57" s="79"/>
      <c r="G57" s="79"/>
      <c r="H57" s="80"/>
    </row>
    <row r="58" spans="1:8" ht="18.75">
      <c r="A58" s="75"/>
      <c r="B58" s="76"/>
      <c r="C58" s="77"/>
      <c r="D58" s="78"/>
      <c r="E58" s="79"/>
      <c r="F58" s="79"/>
      <c r="G58" s="79"/>
      <c r="H58" s="80"/>
    </row>
    <row r="59" spans="1:8" ht="18.75">
      <c r="A59" s="75"/>
      <c r="B59" s="81"/>
      <c r="C59" s="77"/>
      <c r="D59" s="78"/>
      <c r="E59" s="79"/>
      <c r="F59" s="79"/>
      <c r="G59" s="79"/>
      <c r="H59" s="82"/>
    </row>
    <row r="60" spans="1:8" ht="18.75">
      <c r="A60" s="75"/>
      <c r="B60" s="106"/>
      <c r="C60" s="106"/>
      <c r="D60" s="106"/>
      <c r="E60" s="79"/>
      <c r="F60" s="79"/>
      <c r="G60" s="79"/>
      <c r="H60" s="82"/>
    </row>
    <row r="61" spans="1:8" ht="18.75">
      <c r="A61" s="75"/>
      <c r="B61" s="107"/>
      <c r="C61" s="107"/>
      <c r="D61" s="107"/>
      <c r="E61" s="79"/>
      <c r="F61" s="79"/>
      <c r="G61" s="79"/>
      <c r="H61" s="82"/>
    </row>
    <row r="62" spans="1:8" ht="18.75">
      <c r="A62" s="75"/>
      <c r="B62" s="108"/>
      <c r="C62" s="108"/>
      <c r="D62" s="108"/>
      <c r="E62" s="79"/>
      <c r="F62" s="79"/>
      <c r="G62" s="79"/>
      <c r="H62" s="82"/>
    </row>
    <row r="63" spans="1:8" ht="18.75">
      <c r="A63" s="75"/>
      <c r="B63" s="109"/>
      <c r="C63" s="109"/>
      <c r="D63" s="109"/>
      <c r="E63" s="79"/>
      <c r="F63" s="79"/>
      <c r="G63" s="79"/>
      <c r="H63" s="83"/>
    </row>
    <row r="64" spans="1:8" ht="19.5">
      <c r="A64" s="84"/>
      <c r="B64" s="85"/>
      <c r="C64" s="86"/>
      <c r="D64" s="87"/>
      <c r="E64" s="88"/>
      <c r="F64" s="89"/>
      <c r="G64" s="90"/>
      <c r="H64" s="91"/>
    </row>
    <row r="65" spans="1:8" ht="17.25">
      <c r="A65" s="102"/>
      <c r="B65" s="102"/>
      <c r="C65" s="102"/>
      <c r="D65" s="102"/>
      <c r="E65" s="102"/>
      <c r="F65" s="102"/>
      <c r="G65" s="102"/>
      <c r="H65" s="102"/>
    </row>
    <row r="66" spans="1:8" ht="15.75">
      <c r="A66" s="45"/>
      <c r="B66" s="45"/>
      <c r="C66" s="45"/>
      <c r="D66" s="45"/>
      <c r="E66" s="45"/>
      <c r="F66" s="45"/>
      <c r="G66" s="92"/>
      <c r="H66" s="45"/>
    </row>
    <row r="67" spans="1:8" ht="15.75">
      <c r="A67" s="45"/>
      <c r="B67" s="45"/>
      <c r="C67" s="45"/>
      <c r="D67" s="45"/>
      <c r="E67" s="45"/>
      <c r="F67" s="45"/>
      <c r="G67" s="47"/>
      <c r="H67" s="45"/>
    </row>
    <row r="68" spans="1:8" ht="15.75">
      <c r="A68" s="45"/>
      <c r="B68" s="45"/>
      <c r="C68" s="45"/>
      <c r="D68" s="45"/>
      <c r="E68" s="45"/>
      <c r="F68" s="45"/>
      <c r="G68" s="48"/>
      <c r="H68" s="45"/>
    </row>
    <row r="69" spans="1:8" ht="15.75">
      <c r="A69" s="49"/>
      <c r="C69" s="45"/>
      <c r="D69" s="49"/>
      <c r="F69" s="49"/>
      <c r="G69" s="49"/>
    </row>
    <row r="70" spans="1:8" ht="15.75">
      <c r="A70" s="50"/>
      <c r="C70" s="50"/>
      <c r="D70" s="50"/>
      <c r="F70" s="50"/>
      <c r="G70" s="50"/>
    </row>
    <row r="71" spans="1:8">
      <c r="A71" s="51"/>
      <c r="B71" s="51"/>
      <c r="C71" s="51"/>
      <c r="D71" s="51"/>
      <c r="E71" s="51"/>
      <c r="F71" s="51"/>
      <c r="G71" s="52"/>
      <c r="H71" s="51"/>
    </row>
  </sheetData>
  <mergeCells count="20">
    <mergeCell ref="B61:D61"/>
    <mergeCell ref="B62:D62"/>
    <mergeCell ref="B63:D63"/>
    <mergeCell ref="A65:H65"/>
    <mergeCell ref="C28:D28"/>
    <mergeCell ref="G28:H28"/>
    <mergeCell ref="G29:H29"/>
    <mergeCell ref="A53:H53"/>
    <mergeCell ref="B60:D60"/>
    <mergeCell ref="G4:H4"/>
    <mergeCell ref="A23:B23"/>
    <mergeCell ref="A24:B24"/>
    <mergeCell ref="A26:H26"/>
    <mergeCell ref="C27:D27"/>
    <mergeCell ref="G27:H27"/>
    <mergeCell ref="A1:H1"/>
    <mergeCell ref="C2:D2"/>
    <mergeCell ref="G2:H2"/>
    <mergeCell ref="C3:D3"/>
    <mergeCell ref="G3:H3"/>
  </mergeCells>
  <printOptions horizontalCentered="1"/>
  <pageMargins left="0" right="0" top="0.196850393700787" bottom="0" header="0" footer="0"/>
  <pageSetup paperSize="9" scale="8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L71"/>
  <sheetViews>
    <sheetView view="pageBreakPreview" zoomScale="85" zoomScaleNormal="70" zoomScaleSheetLayoutView="85" workbookViewId="0">
      <selection activeCell="G3" sqref="G3:H3"/>
    </sheetView>
  </sheetViews>
  <sheetFormatPr defaultColWidth="9" defaultRowHeight="15"/>
  <cols>
    <col min="1" max="1" width="5.7109375" customWidth="1"/>
    <col min="2" max="2" width="31.42578125" customWidth="1"/>
    <col min="3" max="3" width="15.85546875" customWidth="1"/>
    <col min="4" max="4" width="14.140625" customWidth="1"/>
    <col min="5" max="5" width="15.140625" customWidth="1"/>
    <col min="6" max="6" width="14.5703125" customWidth="1"/>
    <col min="7" max="7" width="14.42578125" style="3" customWidth="1"/>
    <col min="8" max="8" width="15.42578125" customWidth="1"/>
    <col min="10" max="10" width="14.85546875" customWidth="1"/>
  </cols>
  <sheetData>
    <row r="1" spans="1:10" s="1" customFormat="1" ht="23.25">
      <c r="A1" s="97" t="s">
        <v>0</v>
      </c>
      <c r="B1" s="97"/>
      <c r="C1" s="97"/>
      <c r="D1" s="97"/>
      <c r="E1" s="97"/>
      <c r="F1" s="97"/>
      <c r="G1" s="97"/>
      <c r="H1" s="97"/>
    </row>
    <row r="2" spans="1:10" s="1" customFormat="1" ht="21">
      <c r="A2" s="4"/>
      <c r="B2" s="5" t="s">
        <v>1</v>
      </c>
      <c r="C2" s="98" t="s">
        <v>46</v>
      </c>
      <c r="D2" s="98"/>
      <c r="E2" s="5" t="s">
        <v>3</v>
      </c>
      <c r="F2" s="5"/>
      <c r="G2" s="99">
        <v>46204</v>
      </c>
      <c r="H2" s="99"/>
    </row>
    <row r="3" spans="1:10" ht="19.5">
      <c r="A3" s="6"/>
      <c r="B3" s="5" t="s">
        <v>4</v>
      </c>
      <c r="C3" s="100" t="s">
        <v>47</v>
      </c>
      <c r="D3" s="100"/>
      <c r="E3" s="5" t="s">
        <v>5</v>
      </c>
      <c r="F3" s="7"/>
      <c r="G3" s="101" t="s">
        <v>48</v>
      </c>
      <c r="H3" s="101"/>
      <c r="J3" s="8"/>
    </row>
    <row r="4" spans="1:10" ht="19.5">
      <c r="A4" s="6"/>
      <c r="B4" s="5" t="s">
        <v>6</v>
      </c>
      <c r="C4" s="9">
        <f>C18</f>
        <v>4584</v>
      </c>
      <c r="D4" s="10" t="s">
        <v>7</v>
      </c>
      <c r="E4" s="5" t="s">
        <v>8</v>
      </c>
      <c r="F4" s="11"/>
      <c r="G4" s="95">
        <v>15458</v>
      </c>
      <c r="H4" s="96"/>
    </row>
    <row r="5" spans="1:10" ht="6.75" customHeight="1">
      <c r="A5" s="6"/>
      <c r="B5" s="6"/>
      <c r="C5" s="6"/>
      <c r="D5" s="6"/>
      <c r="E5" s="6"/>
      <c r="F5" s="6"/>
      <c r="G5" s="12"/>
      <c r="H5" s="6"/>
    </row>
    <row r="6" spans="1:10" ht="39">
      <c r="A6" s="13" t="s">
        <v>9</v>
      </c>
      <c r="B6" s="13" t="s">
        <v>10</v>
      </c>
      <c r="C6" s="14" t="s">
        <v>11</v>
      </c>
      <c r="D6" s="14" t="s">
        <v>12</v>
      </c>
      <c r="E6" s="14" t="s">
        <v>13</v>
      </c>
      <c r="F6" s="14" t="s">
        <v>14</v>
      </c>
      <c r="G6" s="15" t="s">
        <v>15</v>
      </c>
      <c r="H6" s="14" t="s">
        <v>16</v>
      </c>
    </row>
    <row r="7" spans="1:10" s="2" customFormat="1" ht="20.100000000000001" customHeight="1">
      <c r="A7" s="16">
        <v>1</v>
      </c>
      <c r="B7" s="17" t="s">
        <v>32</v>
      </c>
      <c r="C7" s="18">
        <v>4584</v>
      </c>
      <c r="D7" s="19">
        <v>0.1</v>
      </c>
      <c r="E7" s="20">
        <f>ROUND(C7*D7,0)</f>
        <v>458</v>
      </c>
      <c r="F7" s="20">
        <v>0</v>
      </c>
      <c r="G7" s="21">
        <f>ROUND(C7-E7,0)</f>
        <v>4126</v>
      </c>
      <c r="H7" s="22"/>
      <c r="J7" s="23">
        <f t="shared" ref="J7:J18" si="0">E7+F7+G7</f>
        <v>4584</v>
      </c>
    </row>
    <row r="8" spans="1:10" s="2" customFormat="1" ht="20.100000000000001" customHeight="1">
      <c r="A8" s="16">
        <v>2</v>
      </c>
      <c r="B8" s="17"/>
      <c r="C8" s="18"/>
      <c r="D8" s="19"/>
      <c r="E8" s="20">
        <v>0</v>
      </c>
      <c r="F8" s="20">
        <v>0</v>
      </c>
      <c r="G8" s="21">
        <f t="shared" ref="G8:G17" si="1">C8-E8-F8</f>
        <v>0</v>
      </c>
      <c r="H8" s="24"/>
      <c r="J8" s="23">
        <f t="shared" si="0"/>
        <v>0</v>
      </c>
    </row>
    <row r="9" spans="1:10" s="2" customFormat="1" ht="20.100000000000001" customHeight="1">
      <c r="A9" s="16">
        <v>3</v>
      </c>
      <c r="B9" s="17"/>
      <c r="C9" s="18"/>
      <c r="D9" s="19"/>
      <c r="E9" s="20">
        <v>0</v>
      </c>
      <c r="F9" s="20">
        <v>0</v>
      </c>
      <c r="G9" s="21">
        <v>0</v>
      </c>
      <c r="H9" s="24"/>
      <c r="J9" s="23">
        <f t="shared" si="0"/>
        <v>0</v>
      </c>
    </row>
    <row r="10" spans="1:10" s="2" customFormat="1" ht="20.100000000000001" customHeight="1">
      <c r="A10" s="16">
        <v>4</v>
      </c>
      <c r="B10" s="17"/>
      <c r="C10" s="18"/>
      <c r="D10" s="19"/>
      <c r="E10" s="20">
        <v>0</v>
      </c>
      <c r="F10" s="20">
        <v>0</v>
      </c>
      <c r="G10" s="21">
        <v>0</v>
      </c>
      <c r="H10" s="24"/>
      <c r="J10" s="23">
        <f t="shared" si="0"/>
        <v>0</v>
      </c>
    </row>
    <row r="11" spans="1:10" s="2" customFormat="1" ht="20.100000000000001" customHeight="1">
      <c r="A11" s="16">
        <v>5</v>
      </c>
      <c r="B11" s="17"/>
      <c r="C11" s="18"/>
      <c r="D11" s="19"/>
      <c r="E11" s="20">
        <v>0</v>
      </c>
      <c r="F11" s="20">
        <v>0</v>
      </c>
      <c r="G11" s="21">
        <v>0</v>
      </c>
      <c r="H11" s="25"/>
      <c r="J11" s="23">
        <f t="shared" si="0"/>
        <v>0</v>
      </c>
    </row>
    <row r="12" spans="1:10" s="2" customFormat="1" ht="20.100000000000001" customHeight="1">
      <c r="A12" s="16">
        <v>6</v>
      </c>
      <c r="B12" s="17"/>
      <c r="C12" s="18"/>
      <c r="D12" s="26"/>
      <c r="E12" s="20">
        <v>0</v>
      </c>
      <c r="F12" s="20">
        <v>0</v>
      </c>
      <c r="G12" s="21">
        <v>0</v>
      </c>
      <c r="H12" s="27"/>
      <c r="J12" s="23">
        <f t="shared" si="0"/>
        <v>0</v>
      </c>
    </row>
    <row r="13" spans="1:10" s="2" customFormat="1" ht="19.5" customHeight="1">
      <c r="A13" s="16">
        <v>7</v>
      </c>
      <c r="B13" s="17"/>
      <c r="C13" s="28"/>
      <c r="D13" s="29"/>
      <c r="E13" s="20">
        <v>0</v>
      </c>
      <c r="F13" s="20">
        <v>0</v>
      </c>
      <c r="G13" s="21">
        <v>0</v>
      </c>
      <c r="H13" s="30"/>
      <c r="J13" s="23">
        <f t="shared" si="0"/>
        <v>0</v>
      </c>
    </row>
    <row r="14" spans="1:10" s="2" customFormat="1" ht="19.5" customHeight="1">
      <c r="A14" s="16">
        <v>8</v>
      </c>
      <c r="B14" s="17"/>
      <c r="C14" s="28"/>
      <c r="D14" s="29"/>
      <c r="E14" s="20">
        <v>0</v>
      </c>
      <c r="F14" s="20">
        <v>0</v>
      </c>
      <c r="G14" s="21">
        <v>0</v>
      </c>
      <c r="H14" s="30"/>
      <c r="J14" s="23">
        <f t="shared" si="0"/>
        <v>0</v>
      </c>
    </row>
    <row r="15" spans="1:10" s="2" customFormat="1" ht="19.5" customHeight="1">
      <c r="A15" s="16">
        <v>9</v>
      </c>
      <c r="B15" s="31"/>
      <c r="C15" s="32"/>
      <c r="D15" s="33"/>
      <c r="E15" s="20">
        <f t="shared" ref="E15:E17" si="2">ROUND(C15*D15,0)</f>
        <v>0</v>
      </c>
      <c r="F15" s="20">
        <v>0</v>
      </c>
      <c r="G15" s="21">
        <f t="shared" si="1"/>
        <v>0</v>
      </c>
      <c r="H15" s="30"/>
      <c r="J15" s="23">
        <f t="shared" si="0"/>
        <v>0</v>
      </c>
    </row>
    <row r="16" spans="1:10" s="2" customFormat="1" ht="19.5" customHeight="1">
      <c r="A16" s="16">
        <v>10</v>
      </c>
      <c r="B16" s="34"/>
      <c r="C16" s="35"/>
      <c r="D16" s="33"/>
      <c r="E16" s="20">
        <f t="shared" si="2"/>
        <v>0</v>
      </c>
      <c r="F16" s="20">
        <v>0</v>
      </c>
      <c r="G16" s="21">
        <f t="shared" si="1"/>
        <v>0</v>
      </c>
      <c r="H16" s="30"/>
      <c r="J16" s="23">
        <f t="shared" si="0"/>
        <v>0</v>
      </c>
    </row>
    <row r="17" spans="1:12" s="2" customFormat="1" ht="19.5" customHeight="1">
      <c r="A17" s="16">
        <v>11</v>
      </c>
      <c r="B17" s="34"/>
      <c r="C17" s="35"/>
      <c r="D17" s="33"/>
      <c r="E17" s="20">
        <f t="shared" si="2"/>
        <v>0</v>
      </c>
      <c r="F17" s="20">
        <v>0</v>
      </c>
      <c r="G17" s="21">
        <f t="shared" si="1"/>
        <v>0</v>
      </c>
      <c r="H17" s="30"/>
      <c r="J17" s="23">
        <f t="shared" si="0"/>
        <v>0</v>
      </c>
    </row>
    <row r="18" spans="1:12" ht="19.5">
      <c r="A18" s="13"/>
      <c r="B18" s="36" t="s">
        <v>17</v>
      </c>
      <c r="C18" s="37">
        <f t="shared" ref="C18:G18" si="3">SUM(C7:C17)</f>
        <v>4584</v>
      </c>
      <c r="D18" s="38"/>
      <c r="E18" s="39">
        <f>SUM(E7:E17)</f>
        <v>458</v>
      </c>
      <c r="F18" s="40">
        <f t="shared" si="3"/>
        <v>0</v>
      </c>
      <c r="G18" s="41">
        <f t="shared" si="3"/>
        <v>4126</v>
      </c>
      <c r="H18" s="42"/>
      <c r="J18" s="43">
        <f t="shared" si="0"/>
        <v>4584</v>
      </c>
      <c r="L18" s="8" t="s">
        <v>18</v>
      </c>
    </row>
    <row r="19" spans="1:12" ht="9" customHeight="1">
      <c r="A19" s="44"/>
      <c r="B19" s="44"/>
      <c r="C19" s="44"/>
      <c r="D19" s="44"/>
      <c r="E19" s="44"/>
      <c r="F19" s="44"/>
      <c r="G19" s="44"/>
      <c r="H19" s="44"/>
    </row>
    <row r="20" spans="1:12" ht="15.75">
      <c r="A20" s="45" t="s">
        <v>19</v>
      </c>
      <c r="B20" s="45"/>
      <c r="C20" s="45"/>
      <c r="D20" s="45" t="s">
        <v>20</v>
      </c>
      <c r="E20" s="45"/>
      <c r="F20" s="45"/>
      <c r="G20" s="46"/>
      <c r="H20" s="45"/>
    </row>
    <row r="21" spans="1:12" ht="15.75">
      <c r="A21" s="45"/>
      <c r="B21" s="45"/>
      <c r="C21" s="45"/>
      <c r="D21" s="45"/>
      <c r="E21" s="45"/>
      <c r="F21" s="45"/>
      <c r="G21" s="47"/>
      <c r="H21" s="45"/>
    </row>
    <row r="22" spans="1:12" ht="15.75">
      <c r="A22" s="45"/>
      <c r="B22" s="45"/>
      <c r="C22" s="45"/>
      <c r="D22" s="45"/>
      <c r="E22" s="45"/>
      <c r="F22" s="45"/>
      <c r="G22" s="48"/>
      <c r="H22" s="45"/>
    </row>
    <row r="23" spans="1:12" ht="15.75">
      <c r="A23" s="110" t="s">
        <v>36</v>
      </c>
      <c r="B23" s="110"/>
      <c r="C23" s="45"/>
      <c r="D23" s="49" t="s">
        <v>21</v>
      </c>
      <c r="F23" s="49"/>
      <c r="G23" s="49"/>
    </row>
    <row r="24" spans="1:12" ht="15.75">
      <c r="A24" s="111" t="s">
        <v>35</v>
      </c>
      <c r="B24" s="111"/>
      <c r="C24" s="50"/>
      <c r="D24" s="50" t="s">
        <v>42</v>
      </c>
      <c r="F24" s="50"/>
      <c r="G24" s="50"/>
    </row>
    <row r="25" spans="1:12">
      <c r="A25" s="51"/>
      <c r="B25" s="51"/>
      <c r="C25" s="51"/>
      <c r="D25" s="51"/>
      <c r="E25" s="51"/>
      <c r="F25" s="51"/>
      <c r="G25" s="52"/>
      <c r="H25" s="51"/>
    </row>
    <row r="26" spans="1:12" s="1" customFormat="1" ht="23.25" hidden="1">
      <c r="A26" s="97" t="s">
        <v>0</v>
      </c>
      <c r="B26" s="97"/>
      <c r="C26" s="97"/>
      <c r="D26" s="97"/>
      <c r="E26" s="97"/>
      <c r="F26" s="97"/>
      <c r="G26" s="97"/>
      <c r="H26" s="97"/>
    </row>
    <row r="27" spans="1:12" s="1" customFormat="1" ht="21" hidden="1">
      <c r="A27" s="4"/>
      <c r="B27" s="5" t="s">
        <v>1</v>
      </c>
      <c r="C27" s="98" t="str">
        <f>C2</f>
        <v>BROTHER</v>
      </c>
      <c r="D27" s="98"/>
      <c r="E27" s="5" t="s">
        <v>3</v>
      </c>
      <c r="F27" s="5"/>
      <c r="G27" s="103">
        <f>G2</f>
        <v>46204</v>
      </c>
      <c r="H27" s="103"/>
    </row>
    <row r="28" spans="1:12" ht="19.5" hidden="1">
      <c r="A28" s="6"/>
      <c r="B28" s="5" t="s">
        <v>4</v>
      </c>
      <c r="C28" s="100" t="str">
        <f>C3</f>
        <v>M-R4A-2026-07-627565</v>
      </c>
      <c r="D28" s="104"/>
      <c r="E28" s="5" t="s">
        <v>5</v>
      </c>
      <c r="F28" s="7"/>
      <c r="G28" s="101"/>
      <c r="H28" s="101"/>
    </row>
    <row r="29" spans="1:12" ht="19.5" hidden="1">
      <c r="A29" s="6"/>
      <c r="B29" s="5" t="s">
        <v>6</v>
      </c>
      <c r="C29" s="9">
        <f>C4</f>
        <v>4584</v>
      </c>
      <c r="D29" s="10" t="s">
        <v>7</v>
      </c>
      <c r="E29" s="5" t="s">
        <v>8</v>
      </c>
      <c r="F29" s="11"/>
      <c r="G29" s="101"/>
      <c r="H29" s="101"/>
    </row>
    <row r="30" spans="1:12" ht="19.5" hidden="1">
      <c r="A30" s="6"/>
      <c r="B30" s="6"/>
      <c r="C30" s="6"/>
      <c r="D30" s="6"/>
      <c r="E30" s="6"/>
      <c r="F30" s="6"/>
      <c r="G30" s="12"/>
      <c r="H30" s="6"/>
    </row>
    <row r="31" spans="1:12" ht="39" hidden="1">
      <c r="A31" s="13" t="s">
        <v>9</v>
      </c>
      <c r="B31" s="13" t="s">
        <v>10</v>
      </c>
      <c r="C31" s="14" t="s">
        <v>11</v>
      </c>
      <c r="D31" s="14" t="s">
        <v>12</v>
      </c>
      <c r="E31" s="14" t="s">
        <v>13</v>
      </c>
      <c r="F31" s="14" t="s">
        <v>14</v>
      </c>
      <c r="G31" s="15" t="s">
        <v>15</v>
      </c>
      <c r="H31" s="14" t="s">
        <v>16</v>
      </c>
    </row>
    <row r="32" spans="1:12" s="2" customFormat="1" ht="20.100000000000001" hidden="1" customHeight="1">
      <c r="A32" s="53">
        <v>1</v>
      </c>
      <c r="B32" s="54" t="s">
        <v>22</v>
      </c>
      <c r="C32" s="55">
        <v>566</v>
      </c>
      <c r="D32" s="56">
        <v>1</v>
      </c>
      <c r="E32" s="57">
        <v>0</v>
      </c>
      <c r="F32" s="57">
        <f>C32*D32</f>
        <v>566</v>
      </c>
      <c r="G32" s="57">
        <f>C32-E32-F32</f>
        <v>0</v>
      </c>
      <c r="H32" s="58"/>
    </row>
    <row r="33" spans="1:8" s="2" customFormat="1" ht="20.100000000000001" hidden="1" customHeight="1">
      <c r="A33" s="53">
        <v>2</v>
      </c>
      <c r="B33" s="54"/>
      <c r="C33" s="55"/>
      <c r="D33" s="59"/>
      <c r="E33" s="57"/>
      <c r="F33" s="57"/>
      <c r="G33" s="57"/>
      <c r="H33" s="60"/>
    </row>
    <row r="34" spans="1:8" s="2" customFormat="1" ht="20.100000000000001" hidden="1" customHeight="1">
      <c r="A34" s="53">
        <v>3</v>
      </c>
      <c r="B34" s="61"/>
      <c r="C34" s="55"/>
      <c r="D34" s="62"/>
      <c r="E34" s="63"/>
      <c r="F34" s="63"/>
      <c r="G34" s="63"/>
      <c r="H34" s="60"/>
    </row>
    <row r="35" spans="1:8" s="2" customFormat="1" ht="20.100000000000001" hidden="1" customHeight="1">
      <c r="A35" s="53">
        <v>4</v>
      </c>
      <c r="B35" s="54"/>
      <c r="C35" s="64"/>
      <c r="D35" s="62"/>
      <c r="E35" s="63"/>
      <c r="F35" s="63"/>
      <c r="G35" s="63"/>
      <c r="H35" s="60"/>
    </row>
    <row r="36" spans="1:8" s="2" customFormat="1" ht="20.100000000000001" hidden="1" customHeight="1">
      <c r="A36" s="53">
        <v>5</v>
      </c>
      <c r="B36" s="54"/>
      <c r="C36" s="64"/>
      <c r="D36" s="62"/>
      <c r="E36" s="63"/>
      <c r="F36" s="63"/>
      <c r="G36" s="63"/>
      <c r="H36" s="60"/>
    </row>
    <row r="37" spans="1:8" s="2" customFormat="1" ht="20.100000000000001" hidden="1" customHeight="1">
      <c r="A37" s="53">
        <v>6</v>
      </c>
      <c r="B37" s="65"/>
      <c r="C37" s="66"/>
      <c r="D37" s="67"/>
      <c r="E37" s="63"/>
      <c r="F37" s="63"/>
      <c r="G37" s="63"/>
      <c r="H37" s="60"/>
    </row>
    <row r="38" spans="1:8" s="2" customFormat="1" ht="20.100000000000001" hidden="1" customHeight="1">
      <c r="A38" s="53">
        <v>7</v>
      </c>
      <c r="B38" s="68"/>
      <c r="C38" s="66"/>
      <c r="D38" s="67"/>
      <c r="E38" s="63"/>
      <c r="F38" s="63"/>
      <c r="G38" s="63"/>
      <c r="H38" s="60"/>
    </row>
    <row r="39" spans="1:8" s="2" customFormat="1" ht="20.100000000000001" hidden="1" customHeight="1">
      <c r="A39" s="53">
        <v>8</v>
      </c>
      <c r="B39" s="65"/>
      <c r="C39" s="66"/>
      <c r="D39" s="67"/>
      <c r="E39" s="63"/>
      <c r="F39" s="63"/>
      <c r="G39" s="63"/>
      <c r="H39" s="60"/>
    </row>
    <row r="40" spans="1:8" s="2" customFormat="1" ht="20.100000000000001" hidden="1" customHeight="1">
      <c r="A40" s="53">
        <v>9</v>
      </c>
      <c r="B40" s="65"/>
      <c r="C40" s="66"/>
      <c r="D40" s="67"/>
      <c r="E40" s="63"/>
      <c r="F40" s="63"/>
      <c r="G40" s="63"/>
      <c r="H40" s="60"/>
    </row>
    <row r="41" spans="1:8" s="2" customFormat="1" ht="20.100000000000001" hidden="1" customHeight="1">
      <c r="A41" s="53">
        <v>10</v>
      </c>
      <c r="B41" s="65"/>
      <c r="C41" s="66"/>
      <c r="D41" s="67"/>
      <c r="E41" s="63"/>
      <c r="F41" s="63"/>
      <c r="G41" s="63"/>
      <c r="H41" s="69"/>
    </row>
    <row r="42" spans="1:8" ht="19.5" hidden="1">
      <c r="A42" s="13"/>
      <c r="B42" s="36" t="s">
        <v>17</v>
      </c>
      <c r="C42" s="37">
        <f t="shared" ref="C42:G42" si="4">SUM(C32:C41)</f>
        <v>566</v>
      </c>
      <c r="D42" s="38"/>
      <c r="E42" s="39">
        <f t="shared" si="4"/>
        <v>0</v>
      </c>
      <c r="F42" s="40">
        <f t="shared" si="4"/>
        <v>566</v>
      </c>
      <c r="G42" s="41">
        <f t="shared" si="4"/>
        <v>0</v>
      </c>
      <c r="H42" s="42"/>
    </row>
    <row r="43" spans="1:8" hidden="1"/>
    <row r="44" spans="1:8" ht="15.75" hidden="1">
      <c r="A44" s="45" t="s">
        <v>19</v>
      </c>
      <c r="B44" s="45"/>
      <c r="C44" s="45"/>
      <c r="D44" s="70" t="s">
        <v>23</v>
      </c>
      <c r="E44" s="45"/>
      <c r="F44" s="45"/>
      <c r="G44" s="46" t="s">
        <v>24</v>
      </c>
      <c r="H44" s="45"/>
    </row>
    <row r="45" spans="1:8" ht="15.75" hidden="1">
      <c r="A45" s="45"/>
      <c r="B45" s="45"/>
      <c r="C45" s="45"/>
      <c r="D45" s="71"/>
      <c r="E45" s="45"/>
      <c r="F45" s="45"/>
      <c r="G45" s="47"/>
      <c r="H45" s="45"/>
    </row>
    <row r="46" spans="1:8" ht="15.75" hidden="1">
      <c r="A46" s="45"/>
      <c r="B46" s="45"/>
      <c r="C46" s="45"/>
      <c r="D46" s="45"/>
      <c r="E46" s="45"/>
      <c r="F46" s="45"/>
      <c r="G46" s="48"/>
      <c r="H46" s="45"/>
    </row>
    <row r="47" spans="1:8" ht="15.75" hidden="1">
      <c r="A47" s="72" t="str">
        <f>A23</f>
        <v>PRINCE JOHN JOHAN F. ARAGON</v>
      </c>
      <c r="C47" s="45"/>
      <c r="D47" s="49" t="s">
        <v>21</v>
      </c>
      <c r="F47" s="49"/>
      <c r="G47" s="49" t="s">
        <v>25</v>
      </c>
    </row>
    <row r="48" spans="1:8" ht="15.75" hidden="1">
      <c r="A48" s="73" t="str">
        <f>A24</f>
        <v>Documentation Staff</v>
      </c>
      <c r="C48" s="50"/>
      <c r="D48" s="50" t="s">
        <v>26</v>
      </c>
      <c r="F48" s="50"/>
      <c r="G48" s="50" t="s">
        <v>27</v>
      </c>
    </row>
    <row r="49" spans="1:8" ht="15.75" hidden="1">
      <c r="A49" s="45"/>
      <c r="B49" s="45"/>
      <c r="C49" s="45"/>
      <c r="D49" s="45"/>
      <c r="E49" s="45"/>
      <c r="F49" s="45"/>
      <c r="G49" s="48"/>
      <c r="H49" s="45"/>
    </row>
    <row r="50" spans="1:8" hidden="1"/>
    <row r="51" spans="1:8" hidden="1">
      <c r="G51" s="74"/>
    </row>
    <row r="52" spans="1:8" hidden="1">
      <c r="G52" s="74"/>
    </row>
    <row r="53" spans="1:8" ht="23.25">
      <c r="A53" s="105"/>
      <c r="B53" s="105"/>
      <c r="C53" s="105"/>
      <c r="D53" s="105"/>
      <c r="E53" s="105"/>
      <c r="F53" s="105"/>
      <c r="G53" s="105"/>
      <c r="H53" s="105"/>
    </row>
    <row r="54" spans="1:8" ht="18.75">
      <c r="A54" s="75"/>
      <c r="B54" s="76"/>
      <c r="C54" s="77"/>
      <c r="D54" s="78"/>
      <c r="E54" s="79"/>
      <c r="F54" s="79"/>
      <c r="G54" s="79"/>
      <c r="H54" s="80"/>
    </row>
    <row r="55" spans="1:8" ht="18.75">
      <c r="A55" s="75"/>
      <c r="B55" s="76"/>
      <c r="C55" s="77"/>
      <c r="D55" s="78"/>
      <c r="E55" s="79"/>
      <c r="F55" s="79"/>
      <c r="G55" s="79"/>
      <c r="H55" s="80"/>
    </row>
    <row r="56" spans="1:8" ht="18.75">
      <c r="A56" s="75"/>
      <c r="B56" s="76"/>
      <c r="C56" s="77"/>
      <c r="D56" s="78"/>
      <c r="E56" s="79"/>
      <c r="F56" s="79"/>
      <c r="G56" s="79"/>
      <c r="H56" s="80"/>
    </row>
    <row r="57" spans="1:8" ht="18.75">
      <c r="A57" s="75"/>
      <c r="B57" s="76"/>
      <c r="C57" s="77"/>
      <c r="D57" s="78"/>
      <c r="E57" s="79"/>
      <c r="F57" s="79"/>
      <c r="G57" s="79"/>
      <c r="H57" s="80"/>
    </row>
    <row r="58" spans="1:8" ht="18.75">
      <c r="A58" s="75"/>
      <c r="B58" s="76"/>
      <c r="C58" s="77"/>
      <c r="D58" s="78"/>
      <c r="E58" s="79"/>
      <c r="F58" s="79"/>
      <c r="G58" s="79"/>
      <c r="H58" s="80"/>
    </row>
    <row r="59" spans="1:8" ht="18.75">
      <c r="A59" s="75"/>
      <c r="B59" s="81"/>
      <c r="C59" s="77"/>
      <c r="D59" s="78"/>
      <c r="E59" s="79"/>
      <c r="F59" s="79"/>
      <c r="G59" s="79"/>
      <c r="H59" s="82"/>
    </row>
    <row r="60" spans="1:8" ht="18.75">
      <c r="A60" s="75"/>
      <c r="B60" s="106"/>
      <c r="C60" s="106"/>
      <c r="D60" s="106"/>
      <c r="E60" s="79"/>
      <c r="F60" s="79"/>
      <c r="G60" s="79"/>
      <c r="H60" s="82"/>
    </row>
    <row r="61" spans="1:8" ht="18.75">
      <c r="A61" s="75"/>
      <c r="B61" s="107"/>
      <c r="C61" s="107"/>
      <c r="D61" s="107"/>
      <c r="E61" s="79"/>
      <c r="F61" s="79"/>
      <c r="G61" s="79"/>
      <c r="H61" s="82"/>
    </row>
    <row r="62" spans="1:8" ht="18.75">
      <c r="A62" s="75"/>
      <c r="B62" s="108"/>
      <c r="C62" s="108"/>
      <c r="D62" s="108"/>
      <c r="E62" s="79"/>
      <c r="F62" s="79"/>
      <c r="G62" s="79"/>
      <c r="H62" s="82"/>
    </row>
    <row r="63" spans="1:8" ht="18.75">
      <c r="A63" s="75"/>
      <c r="B63" s="109"/>
      <c r="C63" s="109"/>
      <c r="D63" s="109"/>
      <c r="E63" s="79"/>
      <c r="F63" s="79"/>
      <c r="G63" s="79"/>
      <c r="H63" s="83"/>
    </row>
    <row r="64" spans="1:8" ht="19.5">
      <c r="A64" s="84"/>
      <c r="B64" s="85"/>
      <c r="C64" s="86"/>
      <c r="D64" s="87"/>
      <c r="E64" s="88"/>
      <c r="F64" s="89"/>
      <c r="G64" s="90"/>
      <c r="H64" s="91"/>
    </row>
    <row r="65" spans="1:8" ht="17.25">
      <c r="A65" s="102"/>
      <c r="B65" s="102"/>
      <c r="C65" s="102"/>
      <c r="D65" s="102"/>
      <c r="E65" s="102"/>
      <c r="F65" s="102"/>
      <c r="G65" s="102"/>
      <c r="H65" s="102"/>
    </row>
    <row r="66" spans="1:8" ht="15.75">
      <c r="A66" s="45"/>
      <c r="B66" s="45"/>
      <c r="C66" s="45"/>
      <c r="D66" s="45"/>
      <c r="E66" s="45"/>
      <c r="F66" s="45"/>
      <c r="G66" s="92"/>
      <c r="H66" s="45"/>
    </row>
    <row r="67" spans="1:8" ht="15.75">
      <c r="A67" s="45"/>
      <c r="B67" s="45"/>
      <c r="C67" s="45"/>
      <c r="D67" s="45"/>
      <c r="E67" s="45"/>
      <c r="F67" s="45"/>
      <c r="G67" s="47"/>
      <c r="H67" s="45"/>
    </row>
    <row r="68" spans="1:8" ht="15.75">
      <c r="A68" s="45"/>
      <c r="B68" s="45"/>
      <c r="C68" s="45"/>
      <c r="D68" s="45"/>
      <c r="E68" s="45"/>
      <c r="F68" s="45"/>
      <c r="G68" s="48"/>
      <c r="H68" s="45"/>
    </row>
    <row r="69" spans="1:8" ht="15.75">
      <c r="A69" s="49"/>
      <c r="C69" s="45"/>
      <c r="D69" s="49"/>
      <c r="F69" s="49"/>
      <c r="G69" s="49"/>
    </row>
    <row r="70" spans="1:8" ht="15.75">
      <c r="A70" s="50"/>
      <c r="C70" s="50"/>
      <c r="D70" s="50"/>
      <c r="F70" s="50"/>
      <c r="G70" s="50"/>
    </row>
    <row r="71" spans="1:8">
      <c r="A71" s="51"/>
      <c r="B71" s="51"/>
      <c r="C71" s="51"/>
      <c r="D71" s="51"/>
      <c r="E71" s="51"/>
      <c r="F71" s="51"/>
      <c r="G71" s="52"/>
      <c r="H71" s="51"/>
    </row>
  </sheetData>
  <mergeCells count="20">
    <mergeCell ref="B61:D61"/>
    <mergeCell ref="B62:D62"/>
    <mergeCell ref="B63:D63"/>
    <mergeCell ref="A65:H65"/>
    <mergeCell ref="C28:D28"/>
    <mergeCell ref="G28:H28"/>
    <mergeCell ref="G29:H29"/>
    <mergeCell ref="A53:H53"/>
    <mergeCell ref="B60:D60"/>
    <mergeCell ref="G4:H4"/>
    <mergeCell ref="A23:B23"/>
    <mergeCell ref="A24:B24"/>
    <mergeCell ref="A26:H26"/>
    <mergeCell ref="C27:D27"/>
    <mergeCell ref="G27:H27"/>
    <mergeCell ref="A1:H1"/>
    <mergeCell ref="C2:D2"/>
    <mergeCell ref="G2:H2"/>
    <mergeCell ref="C3:D3"/>
    <mergeCell ref="G3:H3"/>
  </mergeCells>
  <printOptions horizontalCentered="1"/>
  <pageMargins left="0" right="0" top="0.196850393700787" bottom="0" header="0" footer="0"/>
  <pageSetup paperSize="9" scale="80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L71"/>
  <sheetViews>
    <sheetView view="pageBreakPreview" zoomScale="70" zoomScaleNormal="70" zoomScaleSheetLayoutView="70" workbookViewId="0">
      <selection activeCell="E13" sqref="E13"/>
    </sheetView>
  </sheetViews>
  <sheetFormatPr defaultColWidth="9" defaultRowHeight="15"/>
  <cols>
    <col min="1" max="1" width="5.7109375" customWidth="1"/>
    <col min="2" max="2" width="31.42578125" customWidth="1"/>
    <col min="3" max="3" width="15.85546875" customWidth="1"/>
    <col min="4" max="4" width="14.140625" customWidth="1"/>
    <col min="5" max="5" width="15.140625" customWidth="1"/>
    <col min="6" max="6" width="14.5703125" customWidth="1"/>
    <col min="7" max="7" width="14.42578125" style="3" customWidth="1"/>
    <col min="8" max="8" width="15.42578125" customWidth="1"/>
    <col min="10" max="10" width="14.85546875" customWidth="1"/>
  </cols>
  <sheetData>
    <row r="1" spans="1:10" s="1" customFormat="1" ht="23.25">
      <c r="A1" s="97" t="s">
        <v>0</v>
      </c>
      <c r="B1" s="97"/>
      <c r="C1" s="97"/>
      <c r="D1" s="97"/>
      <c r="E1" s="97"/>
      <c r="F1" s="97"/>
      <c r="G1" s="97"/>
      <c r="H1" s="97"/>
    </row>
    <row r="2" spans="1:10" s="1" customFormat="1" ht="21">
      <c r="A2" s="4"/>
      <c r="B2" s="5" t="s">
        <v>1</v>
      </c>
      <c r="C2" s="98" t="s">
        <v>49</v>
      </c>
      <c r="D2" s="98"/>
      <c r="E2" s="5" t="s">
        <v>3</v>
      </c>
      <c r="F2" s="5"/>
      <c r="G2" s="99">
        <v>46206</v>
      </c>
      <c r="H2" s="99"/>
    </row>
    <row r="3" spans="1:10" ht="19.5">
      <c r="A3" s="6"/>
      <c r="B3" s="5" t="s">
        <v>4</v>
      </c>
      <c r="C3" s="100" t="s">
        <v>50</v>
      </c>
      <c r="D3" s="100"/>
      <c r="E3" s="5" t="s">
        <v>5</v>
      </c>
      <c r="F3" s="7"/>
      <c r="G3" s="101" t="s">
        <v>30</v>
      </c>
      <c r="H3" s="101"/>
      <c r="J3" s="8"/>
    </row>
    <row r="4" spans="1:10" ht="19.5">
      <c r="A4" s="6"/>
      <c r="B4" s="5" t="s">
        <v>6</v>
      </c>
      <c r="C4" s="9">
        <f>C18</f>
        <v>1847</v>
      </c>
      <c r="D4" s="10" t="s">
        <v>7</v>
      </c>
      <c r="E4" s="5" t="s">
        <v>8</v>
      </c>
      <c r="F4" s="11"/>
      <c r="G4" s="95">
        <v>15471</v>
      </c>
      <c r="H4" s="96"/>
    </row>
    <row r="5" spans="1:10" ht="6.75" customHeight="1">
      <c r="A5" s="6"/>
      <c r="B5" s="6"/>
      <c r="C5" s="6"/>
      <c r="D5" s="6"/>
      <c r="E5" s="6"/>
      <c r="F5" s="6"/>
      <c r="G5" s="12"/>
      <c r="H5" s="6"/>
    </row>
    <row r="6" spans="1:10" ht="39">
      <c r="A6" s="13" t="s">
        <v>9</v>
      </c>
      <c r="B6" s="13" t="s">
        <v>10</v>
      </c>
      <c r="C6" s="14" t="s">
        <v>11</v>
      </c>
      <c r="D6" s="14" t="s">
        <v>12</v>
      </c>
      <c r="E6" s="14" t="s">
        <v>13</v>
      </c>
      <c r="F6" s="14" t="s">
        <v>14</v>
      </c>
      <c r="G6" s="15" t="s">
        <v>15</v>
      </c>
      <c r="H6" s="14" t="s">
        <v>16</v>
      </c>
    </row>
    <row r="7" spans="1:10" s="2" customFormat="1" ht="20.100000000000001" customHeight="1">
      <c r="A7" s="16">
        <v>1</v>
      </c>
      <c r="B7" s="17" t="s">
        <v>40</v>
      </c>
      <c r="C7" s="18">
        <v>13</v>
      </c>
      <c r="D7" s="19">
        <v>1</v>
      </c>
      <c r="E7" s="20">
        <f>C7*D7</f>
        <v>13</v>
      </c>
      <c r="F7" s="20">
        <v>0</v>
      </c>
      <c r="G7" s="21">
        <v>0</v>
      </c>
      <c r="H7" s="22"/>
      <c r="J7" s="23">
        <f t="shared" ref="J7:J18" si="0">E7+F7+G7</f>
        <v>13</v>
      </c>
    </row>
    <row r="8" spans="1:10" s="2" customFormat="1" ht="20.100000000000001" customHeight="1">
      <c r="A8" s="16">
        <v>2</v>
      </c>
      <c r="B8" s="17" t="s">
        <v>28</v>
      </c>
      <c r="C8" s="18">
        <v>23.5</v>
      </c>
      <c r="D8" s="19">
        <v>1</v>
      </c>
      <c r="E8" s="20">
        <f>D8*C8</f>
        <v>23.5</v>
      </c>
      <c r="F8" s="20">
        <v>0</v>
      </c>
      <c r="G8" s="21">
        <v>0</v>
      </c>
      <c r="H8" s="24"/>
      <c r="J8" s="23">
        <f t="shared" si="0"/>
        <v>23.5</v>
      </c>
    </row>
    <row r="9" spans="1:10" s="2" customFormat="1" ht="20.100000000000001" customHeight="1">
      <c r="A9" s="16">
        <v>3</v>
      </c>
      <c r="B9" s="17" t="s">
        <v>51</v>
      </c>
      <c r="C9" s="18">
        <v>1810.5</v>
      </c>
      <c r="D9" s="19">
        <v>1</v>
      </c>
      <c r="E9" s="20">
        <f>D9*C9</f>
        <v>1810.5</v>
      </c>
      <c r="F9" s="20">
        <v>0</v>
      </c>
      <c r="G9" s="21">
        <v>0</v>
      </c>
      <c r="H9" s="24"/>
      <c r="J9" s="23">
        <f t="shared" si="0"/>
        <v>1810.5</v>
      </c>
    </row>
    <row r="10" spans="1:10" s="2" customFormat="1" ht="20.100000000000001" customHeight="1">
      <c r="A10" s="16">
        <v>4</v>
      </c>
      <c r="B10" s="17"/>
      <c r="C10" s="18"/>
      <c r="D10" s="19"/>
      <c r="E10" s="20"/>
      <c r="F10" s="20">
        <v>0</v>
      </c>
      <c r="G10" s="21">
        <v>0</v>
      </c>
      <c r="H10" s="24"/>
      <c r="J10" s="23">
        <f t="shared" si="0"/>
        <v>0</v>
      </c>
    </row>
    <row r="11" spans="1:10" s="2" customFormat="1" ht="20.100000000000001" customHeight="1">
      <c r="A11" s="16">
        <v>5</v>
      </c>
      <c r="B11" s="17"/>
      <c r="C11" s="18"/>
      <c r="D11" s="19"/>
      <c r="E11" s="20"/>
      <c r="F11" s="20">
        <v>0</v>
      </c>
      <c r="G11" s="21">
        <v>0</v>
      </c>
      <c r="H11" s="25"/>
      <c r="J11" s="23">
        <f t="shared" si="0"/>
        <v>0</v>
      </c>
    </row>
    <row r="12" spans="1:10" s="2" customFormat="1" ht="20.100000000000001" customHeight="1">
      <c r="A12" s="16">
        <v>6</v>
      </c>
      <c r="B12" s="17"/>
      <c r="C12" s="18"/>
      <c r="D12" s="26"/>
      <c r="E12" s="20"/>
      <c r="F12" s="20">
        <v>0</v>
      </c>
      <c r="G12" s="21">
        <v>0</v>
      </c>
      <c r="H12" s="27"/>
      <c r="J12" s="23">
        <f t="shared" si="0"/>
        <v>0</v>
      </c>
    </row>
    <row r="13" spans="1:10" s="2" customFormat="1" ht="19.5" customHeight="1">
      <c r="A13" s="16">
        <v>7</v>
      </c>
      <c r="B13" s="17"/>
      <c r="C13" s="28"/>
      <c r="D13" s="29"/>
      <c r="E13" s="20"/>
      <c r="F13" s="20">
        <v>0</v>
      </c>
      <c r="G13" s="21">
        <v>0</v>
      </c>
      <c r="H13" s="30"/>
      <c r="J13" s="23">
        <f t="shared" si="0"/>
        <v>0</v>
      </c>
    </row>
    <row r="14" spans="1:10" s="2" customFormat="1" ht="19.5" customHeight="1">
      <c r="A14" s="16">
        <v>8</v>
      </c>
      <c r="B14" s="17"/>
      <c r="C14" s="28"/>
      <c r="D14" s="29"/>
      <c r="E14" s="20">
        <f t="shared" ref="E14:E17" si="1">ROUND(C14*D14,0)</f>
        <v>0</v>
      </c>
      <c r="F14" s="20">
        <v>0</v>
      </c>
      <c r="G14" s="21">
        <f t="shared" ref="G14:G17" si="2">C14-E14-F14</f>
        <v>0</v>
      </c>
      <c r="H14" s="30"/>
      <c r="J14" s="23">
        <f t="shared" si="0"/>
        <v>0</v>
      </c>
    </row>
    <row r="15" spans="1:10" s="2" customFormat="1" ht="19.5" customHeight="1">
      <c r="A15" s="16">
        <v>9</v>
      </c>
      <c r="B15" s="31"/>
      <c r="C15" s="32"/>
      <c r="D15" s="33"/>
      <c r="E15" s="20">
        <f t="shared" si="1"/>
        <v>0</v>
      </c>
      <c r="F15" s="20">
        <v>0</v>
      </c>
      <c r="G15" s="21">
        <f t="shared" si="2"/>
        <v>0</v>
      </c>
      <c r="H15" s="30"/>
      <c r="J15" s="23">
        <f t="shared" si="0"/>
        <v>0</v>
      </c>
    </row>
    <row r="16" spans="1:10" s="2" customFormat="1" ht="19.5" customHeight="1">
      <c r="A16" s="16">
        <v>10</v>
      </c>
      <c r="B16" s="34"/>
      <c r="C16" s="35"/>
      <c r="D16" s="33"/>
      <c r="E16" s="20">
        <f t="shared" si="1"/>
        <v>0</v>
      </c>
      <c r="F16" s="20">
        <v>0</v>
      </c>
      <c r="G16" s="21">
        <f t="shared" si="2"/>
        <v>0</v>
      </c>
      <c r="H16" s="30"/>
      <c r="J16" s="23">
        <f t="shared" si="0"/>
        <v>0</v>
      </c>
    </row>
    <row r="17" spans="1:12" s="2" customFormat="1" ht="19.5" customHeight="1">
      <c r="A17" s="16">
        <v>11</v>
      </c>
      <c r="B17" s="34"/>
      <c r="C17" s="35"/>
      <c r="D17" s="33"/>
      <c r="E17" s="20">
        <f t="shared" si="1"/>
        <v>0</v>
      </c>
      <c r="F17" s="20">
        <v>0</v>
      </c>
      <c r="G17" s="21">
        <f t="shared" si="2"/>
        <v>0</v>
      </c>
      <c r="H17" s="30"/>
      <c r="J17" s="23">
        <f t="shared" si="0"/>
        <v>0</v>
      </c>
    </row>
    <row r="18" spans="1:12" ht="19.5">
      <c r="A18" s="13"/>
      <c r="B18" s="36" t="s">
        <v>17</v>
      </c>
      <c r="C18" s="37">
        <f t="shared" ref="C18:G18" si="3">SUM(C7:C17)</f>
        <v>1847</v>
      </c>
      <c r="D18" s="38"/>
      <c r="E18" s="39">
        <f>SUM(E7:E17)</f>
        <v>1847</v>
      </c>
      <c r="F18" s="40">
        <f t="shared" si="3"/>
        <v>0</v>
      </c>
      <c r="G18" s="41">
        <f t="shared" si="3"/>
        <v>0</v>
      </c>
      <c r="H18" s="42"/>
      <c r="J18" s="43">
        <f t="shared" si="0"/>
        <v>1847</v>
      </c>
      <c r="L18" s="8" t="s">
        <v>18</v>
      </c>
    </row>
    <row r="19" spans="1:12" ht="9" customHeight="1">
      <c r="A19" s="44"/>
      <c r="B19" s="44"/>
      <c r="C19" s="44"/>
      <c r="D19" s="44"/>
      <c r="E19" s="44"/>
      <c r="F19" s="44"/>
      <c r="G19" s="44"/>
      <c r="H19" s="44"/>
    </row>
    <row r="20" spans="1:12" ht="15.75">
      <c r="A20" s="45" t="s">
        <v>19</v>
      </c>
      <c r="B20" s="45"/>
      <c r="C20" s="45"/>
      <c r="D20" s="45" t="s">
        <v>20</v>
      </c>
      <c r="E20" s="45"/>
      <c r="F20" s="45"/>
      <c r="G20" s="46"/>
      <c r="H20" s="45"/>
    </row>
    <row r="21" spans="1:12" ht="15.75">
      <c r="A21" s="45"/>
      <c r="B21" s="45"/>
      <c r="C21" s="45"/>
      <c r="D21" s="45"/>
      <c r="E21" s="45"/>
      <c r="F21" s="45"/>
      <c r="G21" s="47"/>
      <c r="H21" s="45"/>
    </row>
    <row r="22" spans="1:12" ht="15.75">
      <c r="A22" s="45"/>
      <c r="B22" s="45"/>
      <c r="C22" s="45"/>
      <c r="D22" s="45"/>
      <c r="E22" s="45"/>
      <c r="F22" s="45"/>
      <c r="G22" s="48"/>
      <c r="H22" s="45"/>
    </row>
    <row r="23" spans="1:12" ht="15.75">
      <c r="A23" s="110" t="s">
        <v>36</v>
      </c>
      <c r="B23" s="110"/>
      <c r="C23" s="45"/>
      <c r="D23" s="49" t="s">
        <v>21</v>
      </c>
      <c r="F23" s="49"/>
      <c r="G23" s="49"/>
    </row>
    <row r="24" spans="1:12" ht="15.75">
      <c r="A24" s="111" t="s">
        <v>35</v>
      </c>
      <c r="B24" s="111"/>
      <c r="C24" s="50"/>
      <c r="D24" s="50" t="s">
        <v>42</v>
      </c>
      <c r="F24" s="50"/>
      <c r="G24" s="50"/>
    </row>
    <row r="25" spans="1:12">
      <c r="A25" s="51"/>
      <c r="B25" s="51"/>
      <c r="C25" s="51"/>
      <c r="D25" s="51"/>
      <c r="E25" s="51"/>
      <c r="F25" s="51"/>
      <c r="G25" s="52"/>
      <c r="H25" s="51"/>
    </row>
    <row r="26" spans="1:12" s="1" customFormat="1" ht="23.25" hidden="1">
      <c r="A26" s="97" t="s">
        <v>0</v>
      </c>
      <c r="B26" s="97"/>
      <c r="C26" s="97"/>
      <c r="D26" s="97"/>
      <c r="E26" s="97"/>
      <c r="F26" s="97"/>
      <c r="G26" s="97"/>
      <c r="H26" s="97"/>
    </row>
    <row r="27" spans="1:12" s="1" customFormat="1" ht="21" hidden="1">
      <c r="A27" s="4"/>
      <c r="B27" s="5" t="s">
        <v>1</v>
      </c>
      <c r="C27" s="98" t="str">
        <f>C2</f>
        <v>NIDEC</v>
      </c>
      <c r="D27" s="98"/>
      <c r="E27" s="5" t="s">
        <v>3</v>
      </c>
      <c r="F27" s="5"/>
      <c r="G27" s="103">
        <f>G2</f>
        <v>46206</v>
      </c>
      <c r="H27" s="103"/>
    </row>
    <row r="28" spans="1:12" ht="19.5" hidden="1">
      <c r="A28" s="6"/>
      <c r="B28" s="5" t="s">
        <v>4</v>
      </c>
      <c r="C28" s="100" t="str">
        <f>C3</f>
        <v>M-R4A-2026-07-628415</v>
      </c>
      <c r="D28" s="104"/>
      <c r="E28" s="5" t="s">
        <v>5</v>
      </c>
      <c r="F28" s="7"/>
      <c r="G28" s="101"/>
      <c r="H28" s="101"/>
    </row>
    <row r="29" spans="1:12" ht="19.5" hidden="1">
      <c r="A29" s="6"/>
      <c r="B29" s="5" t="s">
        <v>6</v>
      </c>
      <c r="C29" s="9">
        <f>C4</f>
        <v>1847</v>
      </c>
      <c r="D29" s="10" t="s">
        <v>7</v>
      </c>
      <c r="E29" s="5" t="s">
        <v>8</v>
      </c>
      <c r="F29" s="11"/>
      <c r="G29" s="101"/>
      <c r="H29" s="101"/>
    </row>
    <row r="30" spans="1:12" ht="19.5" hidden="1">
      <c r="A30" s="6"/>
      <c r="B30" s="6"/>
      <c r="C30" s="6"/>
      <c r="D30" s="6"/>
      <c r="E30" s="6"/>
      <c r="F30" s="6"/>
      <c r="G30" s="12"/>
      <c r="H30" s="6"/>
    </row>
    <row r="31" spans="1:12" ht="39" hidden="1">
      <c r="A31" s="13" t="s">
        <v>9</v>
      </c>
      <c r="B31" s="13" t="s">
        <v>10</v>
      </c>
      <c r="C31" s="14" t="s">
        <v>11</v>
      </c>
      <c r="D31" s="14" t="s">
        <v>12</v>
      </c>
      <c r="E31" s="14" t="s">
        <v>13</v>
      </c>
      <c r="F31" s="14" t="s">
        <v>14</v>
      </c>
      <c r="G31" s="15" t="s">
        <v>15</v>
      </c>
      <c r="H31" s="14" t="s">
        <v>16</v>
      </c>
    </row>
    <row r="32" spans="1:12" s="2" customFormat="1" ht="20.100000000000001" hidden="1" customHeight="1">
      <c r="A32" s="53">
        <v>1</v>
      </c>
      <c r="B32" s="54" t="s">
        <v>22</v>
      </c>
      <c r="C32" s="55">
        <v>566</v>
      </c>
      <c r="D32" s="56">
        <v>1</v>
      </c>
      <c r="E32" s="57">
        <v>0</v>
      </c>
      <c r="F32" s="57">
        <f>C32*D32</f>
        <v>566</v>
      </c>
      <c r="G32" s="57">
        <f>C32-E32-F32</f>
        <v>0</v>
      </c>
      <c r="H32" s="58"/>
    </row>
    <row r="33" spans="1:8" s="2" customFormat="1" ht="20.100000000000001" hidden="1" customHeight="1">
      <c r="A33" s="53">
        <v>2</v>
      </c>
      <c r="B33" s="54"/>
      <c r="C33" s="55"/>
      <c r="D33" s="59"/>
      <c r="E33" s="57"/>
      <c r="F33" s="57"/>
      <c r="G33" s="57"/>
      <c r="H33" s="60"/>
    </row>
    <row r="34" spans="1:8" s="2" customFormat="1" ht="20.100000000000001" hidden="1" customHeight="1">
      <c r="A34" s="53">
        <v>3</v>
      </c>
      <c r="B34" s="61"/>
      <c r="C34" s="55"/>
      <c r="D34" s="62"/>
      <c r="E34" s="63"/>
      <c r="F34" s="63"/>
      <c r="G34" s="63"/>
      <c r="H34" s="60"/>
    </row>
    <row r="35" spans="1:8" s="2" customFormat="1" ht="20.100000000000001" hidden="1" customHeight="1">
      <c r="A35" s="53">
        <v>4</v>
      </c>
      <c r="B35" s="54"/>
      <c r="C35" s="64"/>
      <c r="D35" s="62"/>
      <c r="E35" s="63"/>
      <c r="F35" s="63"/>
      <c r="G35" s="63"/>
      <c r="H35" s="60"/>
    </row>
    <row r="36" spans="1:8" s="2" customFormat="1" ht="20.100000000000001" hidden="1" customHeight="1">
      <c r="A36" s="53">
        <v>5</v>
      </c>
      <c r="B36" s="54"/>
      <c r="C36" s="64"/>
      <c r="D36" s="62"/>
      <c r="E36" s="63"/>
      <c r="F36" s="63"/>
      <c r="G36" s="63"/>
      <c r="H36" s="60"/>
    </row>
    <row r="37" spans="1:8" s="2" customFormat="1" ht="20.100000000000001" hidden="1" customHeight="1">
      <c r="A37" s="53">
        <v>6</v>
      </c>
      <c r="B37" s="65"/>
      <c r="C37" s="66"/>
      <c r="D37" s="67"/>
      <c r="E37" s="63"/>
      <c r="F37" s="63"/>
      <c r="G37" s="63"/>
      <c r="H37" s="60"/>
    </row>
    <row r="38" spans="1:8" s="2" customFormat="1" ht="20.100000000000001" hidden="1" customHeight="1">
      <c r="A38" s="53">
        <v>7</v>
      </c>
      <c r="B38" s="68"/>
      <c r="C38" s="66"/>
      <c r="D38" s="67"/>
      <c r="E38" s="63"/>
      <c r="F38" s="63"/>
      <c r="G38" s="63"/>
      <c r="H38" s="60"/>
    </row>
    <row r="39" spans="1:8" s="2" customFormat="1" ht="20.100000000000001" hidden="1" customHeight="1">
      <c r="A39" s="53">
        <v>8</v>
      </c>
      <c r="B39" s="65"/>
      <c r="C39" s="66"/>
      <c r="D39" s="67"/>
      <c r="E39" s="63"/>
      <c r="F39" s="63"/>
      <c r="G39" s="63"/>
      <c r="H39" s="60"/>
    </row>
    <row r="40" spans="1:8" s="2" customFormat="1" ht="20.100000000000001" hidden="1" customHeight="1">
      <c r="A40" s="53">
        <v>9</v>
      </c>
      <c r="B40" s="65"/>
      <c r="C40" s="66"/>
      <c r="D40" s="67"/>
      <c r="E40" s="63"/>
      <c r="F40" s="63"/>
      <c r="G40" s="63"/>
      <c r="H40" s="60"/>
    </row>
    <row r="41" spans="1:8" s="2" customFormat="1" ht="20.100000000000001" hidden="1" customHeight="1">
      <c r="A41" s="53">
        <v>10</v>
      </c>
      <c r="B41" s="65"/>
      <c r="C41" s="66"/>
      <c r="D41" s="67"/>
      <c r="E41" s="63"/>
      <c r="F41" s="63"/>
      <c r="G41" s="63"/>
      <c r="H41" s="69"/>
    </row>
    <row r="42" spans="1:8" ht="19.5" hidden="1">
      <c r="A42" s="13"/>
      <c r="B42" s="36" t="s">
        <v>17</v>
      </c>
      <c r="C42" s="37">
        <f t="shared" ref="C42:G42" si="4">SUM(C32:C41)</f>
        <v>566</v>
      </c>
      <c r="D42" s="38"/>
      <c r="E42" s="39">
        <f t="shared" si="4"/>
        <v>0</v>
      </c>
      <c r="F42" s="40">
        <f t="shared" si="4"/>
        <v>566</v>
      </c>
      <c r="G42" s="41">
        <f t="shared" si="4"/>
        <v>0</v>
      </c>
      <c r="H42" s="42"/>
    </row>
    <row r="43" spans="1:8" hidden="1"/>
    <row r="44" spans="1:8" ht="15.75" hidden="1">
      <c r="A44" s="45" t="s">
        <v>19</v>
      </c>
      <c r="B44" s="45"/>
      <c r="C44" s="45"/>
      <c r="D44" s="70" t="s">
        <v>23</v>
      </c>
      <c r="E44" s="45"/>
      <c r="F44" s="45"/>
      <c r="G44" s="46" t="s">
        <v>24</v>
      </c>
      <c r="H44" s="45"/>
    </row>
    <row r="45" spans="1:8" ht="15.75" hidden="1">
      <c r="A45" s="45"/>
      <c r="B45" s="45"/>
      <c r="C45" s="45"/>
      <c r="D45" s="71"/>
      <c r="E45" s="45"/>
      <c r="F45" s="45"/>
      <c r="G45" s="47"/>
      <c r="H45" s="45"/>
    </row>
    <row r="46" spans="1:8" ht="15.75" hidden="1">
      <c r="A46" s="45"/>
      <c r="B46" s="45"/>
      <c r="C46" s="45"/>
      <c r="D46" s="45"/>
      <c r="E46" s="45"/>
      <c r="F46" s="45"/>
      <c r="G46" s="48"/>
      <c r="H46" s="45"/>
    </row>
    <row r="47" spans="1:8" ht="15.75" hidden="1">
      <c r="A47" s="72" t="str">
        <f>A23</f>
        <v>PRINCE JOHN JOHAN F. ARAGON</v>
      </c>
      <c r="C47" s="45"/>
      <c r="D47" s="49" t="s">
        <v>21</v>
      </c>
      <c r="F47" s="49"/>
      <c r="G47" s="49" t="s">
        <v>25</v>
      </c>
    </row>
    <row r="48" spans="1:8" ht="15.75" hidden="1">
      <c r="A48" s="73" t="str">
        <f>A24</f>
        <v>Documentation Staff</v>
      </c>
      <c r="C48" s="50"/>
      <c r="D48" s="50" t="s">
        <v>26</v>
      </c>
      <c r="F48" s="50"/>
      <c r="G48" s="50" t="s">
        <v>27</v>
      </c>
    </row>
    <row r="49" spans="1:8" ht="15.75" hidden="1">
      <c r="A49" s="45"/>
      <c r="B49" s="45"/>
      <c r="C49" s="45"/>
      <c r="D49" s="45"/>
      <c r="E49" s="45"/>
      <c r="F49" s="45"/>
      <c r="G49" s="48"/>
      <c r="H49" s="45"/>
    </row>
    <row r="50" spans="1:8" hidden="1"/>
    <row r="51" spans="1:8" hidden="1">
      <c r="G51" s="74"/>
    </row>
    <row r="52" spans="1:8" hidden="1">
      <c r="G52" s="74"/>
    </row>
    <row r="53" spans="1:8" ht="23.25">
      <c r="A53" s="105"/>
      <c r="B53" s="105"/>
      <c r="C53" s="105"/>
      <c r="D53" s="105"/>
      <c r="E53" s="105"/>
      <c r="F53" s="105"/>
      <c r="G53" s="105"/>
      <c r="H53" s="105"/>
    </row>
    <row r="54" spans="1:8" ht="18.75">
      <c r="A54" s="75"/>
      <c r="B54" s="76"/>
      <c r="C54" s="77"/>
      <c r="D54" s="78"/>
      <c r="E54" s="79"/>
      <c r="F54" s="79"/>
      <c r="G54" s="79"/>
      <c r="H54" s="80"/>
    </row>
    <row r="55" spans="1:8" ht="18.75">
      <c r="A55" s="75"/>
      <c r="B55" s="76"/>
      <c r="C55" s="77"/>
      <c r="D55" s="78"/>
      <c r="E55" s="79"/>
      <c r="F55" s="79"/>
      <c r="G55" s="79"/>
      <c r="H55" s="80"/>
    </row>
    <row r="56" spans="1:8" ht="18.75">
      <c r="A56" s="75"/>
      <c r="B56" s="76"/>
      <c r="C56" s="77"/>
      <c r="D56" s="78"/>
      <c r="E56" s="79"/>
      <c r="F56" s="79"/>
      <c r="G56" s="79"/>
      <c r="H56" s="80"/>
    </row>
    <row r="57" spans="1:8" ht="18.75">
      <c r="A57" s="75"/>
      <c r="B57" s="76"/>
      <c r="C57" s="77"/>
      <c r="D57" s="78"/>
      <c r="E57" s="79"/>
      <c r="F57" s="79"/>
      <c r="G57" s="79"/>
      <c r="H57" s="80"/>
    </row>
    <row r="58" spans="1:8" ht="18.75">
      <c r="A58" s="75"/>
      <c r="B58" s="76"/>
      <c r="C58" s="77"/>
      <c r="D58" s="78"/>
      <c r="E58" s="79"/>
      <c r="F58" s="79"/>
      <c r="G58" s="79"/>
      <c r="H58" s="80"/>
    </row>
    <row r="59" spans="1:8" ht="18.75">
      <c r="A59" s="75"/>
      <c r="B59" s="81"/>
      <c r="C59" s="77"/>
      <c r="D59" s="78"/>
      <c r="E59" s="79"/>
      <c r="F59" s="79"/>
      <c r="G59" s="79"/>
      <c r="H59" s="82"/>
    </row>
    <row r="60" spans="1:8" ht="18.75">
      <c r="A60" s="75"/>
      <c r="B60" s="106"/>
      <c r="C60" s="106"/>
      <c r="D60" s="106"/>
      <c r="E60" s="79"/>
      <c r="F60" s="79"/>
      <c r="G60" s="79"/>
      <c r="H60" s="82"/>
    </row>
    <row r="61" spans="1:8" ht="18.75">
      <c r="A61" s="75"/>
      <c r="B61" s="107"/>
      <c r="C61" s="107"/>
      <c r="D61" s="107"/>
      <c r="E61" s="79"/>
      <c r="F61" s="79"/>
      <c r="G61" s="79"/>
      <c r="H61" s="82"/>
    </row>
    <row r="62" spans="1:8" ht="18.75">
      <c r="A62" s="75"/>
      <c r="B62" s="108"/>
      <c r="C62" s="108"/>
      <c r="D62" s="108"/>
      <c r="E62" s="79"/>
      <c r="F62" s="79"/>
      <c r="G62" s="79"/>
      <c r="H62" s="82"/>
    </row>
    <row r="63" spans="1:8" ht="18.75">
      <c r="A63" s="75"/>
      <c r="B63" s="109"/>
      <c r="C63" s="109"/>
      <c r="D63" s="109"/>
      <c r="E63" s="79"/>
      <c r="F63" s="79"/>
      <c r="G63" s="79"/>
      <c r="H63" s="83"/>
    </row>
    <row r="64" spans="1:8" ht="19.5">
      <c r="A64" s="84"/>
      <c r="B64" s="85"/>
      <c r="C64" s="86"/>
      <c r="D64" s="87"/>
      <c r="E64" s="88"/>
      <c r="F64" s="89"/>
      <c r="G64" s="90"/>
      <c r="H64" s="91"/>
    </row>
    <row r="65" spans="1:8" ht="17.25">
      <c r="A65" s="102"/>
      <c r="B65" s="102"/>
      <c r="C65" s="102"/>
      <c r="D65" s="102"/>
      <c r="E65" s="102"/>
      <c r="F65" s="102"/>
      <c r="G65" s="102"/>
      <c r="H65" s="102"/>
    </row>
    <row r="66" spans="1:8" ht="15.75">
      <c r="A66" s="45"/>
      <c r="B66" s="45"/>
      <c r="C66" s="45"/>
      <c r="D66" s="45"/>
      <c r="E66" s="45"/>
      <c r="F66" s="45"/>
      <c r="G66" s="92"/>
      <c r="H66" s="45"/>
    </row>
    <row r="67" spans="1:8" ht="15.75">
      <c r="A67" s="45"/>
      <c r="B67" s="45"/>
      <c r="C67" s="45"/>
      <c r="D67" s="45"/>
      <c r="E67" s="45"/>
      <c r="F67" s="45"/>
      <c r="G67" s="47"/>
      <c r="H67" s="45"/>
    </row>
    <row r="68" spans="1:8" ht="15.75">
      <c r="A68" s="45"/>
      <c r="B68" s="45"/>
      <c r="C68" s="45"/>
      <c r="D68" s="45"/>
      <c r="E68" s="45"/>
      <c r="F68" s="45"/>
      <c r="G68" s="48"/>
      <c r="H68" s="45"/>
    </row>
    <row r="69" spans="1:8" ht="15.75">
      <c r="A69" s="49"/>
      <c r="C69" s="45"/>
      <c r="D69" s="49"/>
      <c r="F69" s="49"/>
      <c r="G69" s="49"/>
    </row>
    <row r="70" spans="1:8" ht="15.75">
      <c r="A70" s="50"/>
      <c r="C70" s="50"/>
      <c r="D70" s="50"/>
      <c r="F70" s="50"/>
      <c r="G70" s="50"/>
    </row>
    <row r="71" spans="1:8">
      <c r="A71" s="51"/>
      <c r="B71" s="51"/>
      <c r="C71" s="51"/>
      <c r="D71" s="51"/>
      <c r="E71" s="51"/>
      <c r="F71" s="51"/>
      <c r="G71" s="52"/>
      <c r="H71" s="51"/>
    </row>
  </sheetData>
  <mergeCells count="20">
    <mergeCell ref="B61:D61"/>
    <mergeCell ref="B62:D62"/>
    <mergeCell ref="B63:D63"/>
    <mergeCell ref="A65:H65"/>
    <mergeCell ref="C28:D28"/>
    <mergeCell ref="G28:H28"/>
    <mergeCell ref="G29:H29"/>
    <mergeCell ref="A53:H53"/>
    <mergeCell ref="B60:D60"/>
    <mergeCell ref="G4:H4"/>
    <mergeCell ref="A23:B23"/>
    <mergeCell ref="A24:B24"/>
    <mergeCell ref="A26:H26"/>
    <mergeCell ref="C27:D27"/>
    <mergeCell ref="G27:H27"/>
    <mergeCell ref="A1:H1"/>
    <mergeCell ref="C2:D2"/>
    <mergeCell ref="G2:H2"/>
    <mergeCell ref="C3:D3"/>
    <mergeCell ref="G3:H3"/>
  </mergeCells>
  <printOptions horizontalCentered="1"/>
  <pageMargins left="0" right="0" top="0.196850393700787" bottom="0" header="0" footer="0"/>
  <pageSetup paperSize="9" scale="80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L71"/>
  <sheetViews>
    <sheetView view="pageBreakPreview" zoomScale="70" zoomScaleNormal="70" zoomScaleSheetLayoutView="70" workbookViewId="0">
      <selection activeCell="J56" sqref="J56"/>
    </sheetView>
  </sheetViews>
  <sheetFormatPr defaultColWidth="9" defaultRowHeight="15"/>
  <cols>
    <col min="1" max="1" width="5.7109375" customWidth="1"/>
    <col min="2" max="2" width="31.42578125" customWidth="1"/>
    <col min="3" max="3" width="15.85546875" customWidth="1"/>
    <col min="4" max="4" width="14.140625" customWidth="1"/>
    <col min="5" max="5" width="15.140625" customWidth="1"/>
    <col min="6" max="6" width="14.5703125" customWidth="1"/>
    <col min="7" max="7" width="14.42578125" style="3" customWidth="1"/>
    <col min="8" max="8" width="15.42578125" customWidth="1"/>
    <col min="10" max="10" width="14.85546875" customWidth="1"/>
  </cols>
  <sheetData>
    <row r="1" spans="1:10" s="1" customFormat="1" ht="23.25">
      <c r="A1" s="97" t="s">
        <v>0</v>
      </c>
      <c r="B1" s="97"/>
      <c r="C1" s="97"/>
      <c r="D1" s="97"/>
      <c r="E1" s="97"/>
      <c r="F1" s="97"/>
      <c r="G1" s="97"/>
      <c r="H1" s="97"/>
    </row>
    <row r="2" spans="1:10" s="1" customFormat="1" ht="21">
      <c r="A2" s="4"/>
      <c r="B2" s="5" t="s">
        <v>1</v>
      </c>
      <c r="C2" s="98" t="s">
        <v>2</v>
      </c>
      <c r="D2" s="98"/>
      <c r="E2" s="5" t="s">
        <v>3</v>
      </c>
      <c r="F2" s="5"/>
      <c r="G2" s="99">
        <v>46206</v>
      </c>
      <c r="H2" s="99"/>
    </row>
    <row r="3" spans="1:10" ht="19.5">
      <c r="A3" s="6"/>
      <c r="B3" s="5" t="s">
        <v>4</v>
      </c>
      <c r="C3" s="100" t="s">
        <v>52</v>
      </c>
      <c r="D3" s="100"/>
      <c r="E3" s="5" t="s">
        <v>5</v>
      </c>
      <c r="F3" s="7"/>
      <c r="G3" s="101" t="s">
        <v>30</v>
      </c>
      <c r="H3" s="101"/>
      <c r="J3" s="8"/>
    </row>
    <row r="4" spans="1:10" ht="19.5">
      <c r="A4" s="6"/>
      <c r="B4" s="5" t="s">
        <v>6</v>
      </c>
      <c r="C4" s="9">
        <f>C18</f>
        <v>2521</v>
      </c>
      <c r="D4" s="10" t="s">
        <v>7</v>
      </c>
      <c r="E4" s="5" t="s">
        <v>8</v>
      </c>
      <c r="F4" s="11"/>
      <c r="G4" s="95">
        <v>15468</v>
      </c>
      <c r="H4" s="96"/>
    </row>
    <row r="5" spans="1:10" ht="6.75" customHeight="1">
      <c r="A5" s="6"/>
      <c r="B5" s="6"/>
      <c r="C5" s="6"/>
      <c r="D5" s="6"/>
      <c r="E5" s="6"/>
      <c r="F5" s="6"/>
      <c r="G5" s="12"/>
      <c r="H5" s="6"/>
    </row>
    <row r="6" spans="1:10" ht="39">
      <c r="A6" s="13" t="s">
        <v>9</v>
      </c>
      <c r="B6" s="13" t="s">
        <v>10</v>
      </c>
      <c r="C6" s="14" t="s">
        <v>11</v>
      </c>
      <c r="D6" s="14" t="s">
        <v>12</v>
      </c>
      <c r="E6" s="14" t="s">
        <v>13</v>
      </c>
      <c r="F6" s="14" t="s">
        <v>14</v>
      </c>
      <c r="G6" s="15" t="s">
        <v>15</v>
      </c>
      <c r="H6" s="14" t="s">
        <v>16</v>
      </c>
    </row>
    <row r="7" spans="1:10" s="2" customFormat="1" ht="20.100000000000001" customHeight="1">
      <c r="A7" s="16">
        <v>1</v>
      </c>
      <c r="B7" s="17" t="s">
        <v>31</v>
      </c>
      <c r="C7" s="18">
        <v>2521</v>
      </c>
      <c r="D7" s="19">
        <v>1</v>
      </c>
      <c r="E7" s="20">
        <f>ROUND(C7*D7,0)</f>
        <v>2521</v>
      </c>
      <c r="F7" s="20">
        <v>0</v>
      </c>
      <c r="G7" s="21">
        <f>C7-E7</f>
        <v>0</v>
      </c>
      <c r="H7" s="22"/>
      <c r="J7" s="23">
        <f t="shared" ref="J7:J18" si="0">E7+F7+G7</f>
        <v>2521</v>
      </c>
    </row>
    <row r="8" spans="1:10" s="2" customFormat="1" ht="20.100000000000001" customHeight="1">
      <c r="A8" s="16">
        <v>2</v>
      </c>
      <c r="B8" s="17" t="s">
        <v>43</v>
      </c>
      <c r="C8" s="18"/>
      <c r="D8" s="19"/>
      <c r="E8" s="20">
        <f>C8*D8</f>
        <v>0</v>
      </c>
      <c r="F8" s="20">
        <v>0</v>
      </c>
      <c r="G8" s="21">
        <v>0</v>
      </c>
      <c r="H8" s="24"/>
      <c r="J8" s="23">
        <f t="shared" si="0"/>
        <v>0</v>
      </c>
    </row>
    <row r="9" spans="1:10" s="2" customFormat="1" ht="20.100000000000001" customHeight="1">
      <c r="A9" s="16">
        <v>3</v>
      </c>
      <c r="B9" s="17"/>
      <c r="C9" s="18"/>
      <c r="D9" s="19"/>
      <c r="E9" s="20">
        <v>0</v>
      </c>
      <c r="F9" s="20">
        <v>0</v>
      </c>
      <c r="G9" s="21">
        <v>0</v>
      </c>
      <c r="H9" s="24"/>
      <c r="J9" s="23">
        <f t="shared" si="0"/>
        <v>0</v>
      </c>
    </row>
    <row r="10" spans="1:10" s="2" customFormat="1" ht="20.100000000000001" customHeight="1">
      <c r="A10" s="16">
        <v>4</v>
      </c>
      <c r="B10" s="17"/>
      <c r="C10" s="18"/>
      <c r="D10" s="19"/>
      <c r="E10" s="20">
        <f>ROUND(C10*D10,0)</f>
        <v>0</v>
      </c>
      <c r="F10" s="20">
        <v>0</v>
      </c>
      <c r="G10" s="21">
        <f t="shared" ref="G10:G17" si="1">C10-E10-F10</f>
        <v>0</v>
      </c>
      <c r="H10" s="24"/>
      <c r="J10" s="23">
        <f t="shared" si="0"/>
        <v>0</v>
      </c>
    </row>
    <row r="11" spans="1:10" s="2" customFormat="1" ht="20.100000000000001" customHeight="1">
      <c r="A11" s="16">
        <v>5</v>
      </c>
      <c r="B11" s="17"/>
      <c r="C11" s="18"/>
      <c r="D11" s="19"/>
      <c r="E11" s="20">
        <f>ROUND(C11*D11,0)</f>
        <v>0</v>
      </c>
      <c r="F11" s="20">
        <v>0</v>
      </c>
      <c r="G11" s="21">
        <f t="shared" si="1"/>
        <v>0</v>
      </c>
      <c r="H11" s="25"/>
      <c r="J11" s="23">
        <f t="shared" si="0"/>
        <v>0</v>
      </c>
    </row>
    <row r="12" spans="1:10" s="2" customFormat="1" ht="20.100000000000001" customHeight="1">
      <c r="A12" s="16">
        <v>6</v>
      </c>
      <c r="B12" s="17"/>
      <c r="C12" s="18"/>
      <c r="D12" s="26"/>
      <c r="E12" s="20">
        <f t="shared" ref="E12:E17" si="2">ROUND(C12*D12,0)</f>
        <v>0</v>
      </c>
      <c r="F12" s="20">
        <v>0</v>
      </c>
      <c r="G12" s="21">
        <f t="shared" si="1"/>
        <v>0</v>
      </c>
      <c r="H12" s="27"/>
      <c r="J12" s="23">
        <f t="shared" si="0"/>
        <v>0</v>
      </c>
    </row>
    <row r="13" spans="1:10" s="2" customFormat="1" ht="19.5" customHeight="1">
      <c r="A13" s="16">
        <v>7</v>
      </c>
      <c r="B13" s="17"/>
      <c r="C13" s="28"/>
      <c r="D13" s="29"/>
      <c r="E13" s="20">
        <f t="shared" si="2"/>
        <v>0</v>
      </c>
      <c r="F13" s="20">
        <v>0</v>
      </c>
      <c r="G13" s="21">
        <f t="shared" si="1"/>
        <v>0</v>
      </c>
      <c r="H13" s="30"/>
      <c r="J13" s="23">
        <f t="shared" si="0"/>
        <v>0</v>
      </c>
    </row>
    <row r="14" spans="1:10" s="2" customFormat="1" ht="19.5" customHeight="1">
      <c r="A14" s="16">
        <v>8</v>
      </c>
      <c r="B14" s="17"/>
      <c r="C14" s="28"/>
      <c r="D14" s="29"/>
      <c r="E14" s="20">
        <f t="shared" si="2"/>
        <v>0</v>
      </c>
      <c r="F14" s="20">
        <v>0</v>
      </c>
      <c r="G14" s="21">
        <f t="shared" si="1"/>
        <v>0</v>
      </c>
      <c r="H14" s="30"/>
      <c r="J14" s="23">
        <f t="shared" si="0"/>
        <v>0</v>
      </c>
    </row>
    <row r="15" spans="1:10" s="2" customFormat="1" ht="19.5" customHeight="1">
      <c r="A15" s="16">
        <v>9</v>
      </c>
      <c r="B15" s="31"/>
      <c r="C15" s="32"/>
      <c r="D15" s="33"/>
      <c r="E15" s="20">
        <f t="shared" si="2"/>
        <v>0</v>
      </c>
      <c r="F15" s="20">
        <v>0</v>
      </c>
      <c r="G15" s="21">
        <f t="shared" si="1"/>
        <v>0</v>
      </c>
      <c r="H15" s="30"/>
      <c r="J15" s="23">
        <f t="shared" si="0"/>
        <v>0</v>
      </c>
    </row>
    <row r="16" spans="1:10" s="2" customFormat="1" ht="19.5" customHeight="1">
      <c r="A16" s="16">
        <v>10</v>
      </c>
      <c r="B16" s="34"/>
      <c r="C16" s="35"/>
      <c r="D16" s="33"/>
      <c r="E16" s="20">
        <f t="shared" si="2"/>
        <v>0</v>
      </c>
      <c r="F16" s="20">
        <v>0</v>
      </c>
      <c r="G16" s="21">
        <f t="shared" si="1"/>
        <v>0</v>
      </c>
      <c r="H16" s="30"/>
      <c r="J16" s="23">
        <f t="shared" si="0"/>
        <v>0</v>
      </c>
    </row>
    <row r="17" spans="1:12" s="2" customFormat="1" ht="19.5" customHeight="1">
      <c r="A17" s="16">
        <v>11</v>
      </c>
      <c r="B17" s="34"/>
      <c r="C17" s="35"/>
      <c r="D17" s="33"/>
      <c r="E17" s="20">
        <f t="shared" si="2"/>
        <v>0</v>
      </c>
      <c r="F17" s="20">
        <v>0</v>
      </c>
      <c r="G17" s="21">
        <f t="shared" si="1"/>
        <v>0</v>
      </c>
      <c r="H17" s="30"/>
      <c r="J17" s="23">
        <f t="shared" si="0"/>
        <v>0</v>
      </c>
    </row>
    <row r="18" spans="1:12" ht="19.5">
      <c r="A18" s="13"/>
      <c r="B18" s="36" t="s">
        <v>17</v>
      </c>
      <c r="C18" s="37">
        <f>SUM(C7:C17)</f>
        <v>2521</v>
      </c>
      <c r="D18" s="38"/>
      <c r="E18" s="39">
        <f>SUM(E7:E17)</f>
        <v>2521</v>
      </c>
      <c r="F18" s="40">
        <f t="shared" ref="F18:G18" si="3">SUM(F7:F17)</f>
        <v>0</v>
      </c>
      <c r="G18" s="41">
        <f t="shared" si="3"/>
        <v>0</v>
      </c>
      <c r="H18" s="42"/>
      <c r="J18" s="43">
        <f t="shared" si="0"/>
        <v>2521</v>
      </c>
      <c r="L18" s="8" t="s">
        <v>18</v>
      </c>
    </row>
    <row r="19" spans="1:12" ht="9" customHeight="1">
      <c r="A19" s="44"/>
      <c r="B19" s="44"/>
      <c r="C19" s="44"/>
      <c r="D19" s="44"/>
      <c r="E19" s="44"/>
      <c r="F19" s="44"/>
      <c r="G19" s="44"/>
      <c r="H19" s="44"/>
    </row>
    <row r="20" spans="1:12" ht="15.75">
      <c r="A20" s="45" t="s">
        <v>19</v>
      </c>
      <c r="B20" s="45"/>
      <c r="C20" s="45"/>
      <c r="D20" s="45" t="s">
        <v>20</v>
      </c>
      <c r="E20" s="45"/>
      <c r="F20" s="45"/>
      <c r="G20" s="46"/>
      <c r="H20" s="45"/>
    </row>
    <row r="21" spans="1:12" ht="15.75">
      <c r="A21" s="45"/>
      <c r="B21" s="45"/>
      <c r="C21" s="45"/>
      <c r="D21" s="45"/>
      <c r="E21" s="45"/>
      <c r="F21" s="45"/>
      <c r="G21" s="47"/>
      <c r="H21" s="45"/>
    </row>
    <row r="22" spans="1:12" ht="15.75">
      <c r="A22" s="45"/>
      <c r="B22" s="45"/>
      <c r="C22" s="45"/>
      <c r="D22" s="45"/>
      <c r="E22" s="45"/>
      <c r="F22" s="45"/>
      <c r="G22" s="48"/>
      <c r="H22" s="45"/>
    </row>
    <row r="23" spans="1:12" ht="15.75">
      <c r="A23" s="49" t="s">
        <v>36</v>
      </c>
      <c r="C23" s="45"/>
      <c r="D23" s="49" t="s">
        <v>21</v>
      </c>
      <c r="F23" s="49"/>
      <c r="G23" s="49"/>
    </row>
    <row r="24" spans="1:12" ht="15.75">
      <c r="A24" s="50" t="s">
        <v>35</v>
      </c>
      <c r="C24" s="50"/>
      <c r="D24" s="50" t="s">
        <v>42</v>
      </c>
      <c r="F24" s="50"/>
      <c r="G24" s="50"/>
    </row>
    <row r="25" spans="1:12">
      <c r="A25" s="51"/>
      <c r="B25" s="51"/>
      <c r="C25" s="51"/>
      <c r="D25" s="51"/>
      <c r="E25" s="51"/>
      <c r="F25" s="51"/>
      <c r="G25" s="52"/>
      <c r="H25" s="51"/>
    </row>
    <row r="26" spans="1:12" s="1" customFormat="1" ht="23.25" hidden="1">
      <c r="A26" s="97" t="s">
        <v>0</v>
      </c>
      <c r="B26" s="97"/>
      <c r="C26" s="97"/>
      <c r="D26" s="97"/>
      <c r="E26" s="97"/>
      <c r="F26" s="97"/>
      <c r="G26" s="97"/>
      <c r="H26" s="97"/>
    </row>
    <row r="27" spans="1:12" s="1" customFormat="1" ht="21" hidden="1">
      <c r="A27" s="4"/>
      <c r="B27" s="5" t="s">
        <v>1</v>
      </c>
      <c r="C27" s="98" t="str">
        <f>C2</f>
        <v>ASTEC LTI</v>
      </c>
      <c r="D27" s="98"/>
      <c r="E27" s="5" t="s">
        <v>3</v>
      </c>
      <c r="F27" s="5"/>
      <c r="G27" s="103">
        <f>G2</f>
        <v>46206</v>
      </c>
      <c r="H27" s="103"/>
    </row>
    <row r="28" spans="1:12" ht="19.5" hidden="1">
      <c r="A28" s="6"/>
      <c r="B28" s="5" t="s">
        <v>4</v>
      </c>
      <c r="C28" s="100" t="str">
        <f>C3</f>
        <v>M-R4A-2026-07-628448</v>
      </c>
      <c r="D28" s="104"/>
      <c r="E28" s="5" t="s">
        <v>5</v>
      </c>
      <c r="F28" s="7"/>
      <c r="G28" s="101"/>
      <c r="H28" s="101"/>
    </row>
    <row r="29" spans="1:12" ht="19.5" hidden="1">
      <c r="A29" s="6"/>
      <c r="B29" s="5" t="s">
        <v>6</v>
      </c>
      <c r="C29" s="9">
        <f>C4</f>
        <v>2521</v>
      </c>
      <c r="D29" s="10" t="s">
        <v>7</v>
      </c>
      <c r="E29" s="5" t="s">
        <v>8</v>
      </c>
      <c r="F29" s="11"/>
      <c r="G29" s="101"/>
      <c r="H29" s="101"/>
    </row>
    <row r="30" spans="1:12" ht="19.5" hidden="1">
      <c r="A30" s="6"/>
      <c r="B30" s="6"/>
      <c r="C30" s="6"/>
      <c r="D30" s="6"/>
      <c r="E30" s="6"/>
      <c r="F30" s="6"/>
      <c r="G30" s="12"/>
      <c r="H30" s="6"/>
    </row>
    <row r="31" spans="1:12" ht="39" hidden="1">
      <c r="A31" s="13" t="s">
        <v>9</v>
      </c>
      <c r="B31" s="13" t="s">
        <v>10</v>
      </c>
      <c r="C31" s="14" t="s">
        <v>11</v>
      </c>
      <c r="D31" s="14" t="s">
        <v>12</v>
      </c>
      <c r="E31" s="14" t="s">
        <v>13</v>
      </c>
      <c r="F31" s="14" t="s">
        <v>14</v>
      </c>
      <c r="G31" s="15" t="s">
        <v>15</v>
      </c>
      <c r="H31" s="14" t="s">
        <v>16</v>
      </c>
    </row>
    <row r="32" spans="1:12" s="2" customFormat="1" ht="20.100000000000001" hidden="1" customHeight="1">
      <c r="A32" s="53">
        <v>1</v>
      </c>
      <c r="B32" s="54" t="s">
        <v>22</v>
      </c>
      <c r="C32" s="55">
        <v>566</v>
      </c>
      <c r="D32" s="56">
        <v>1</v>
      </c>
      <c r="E32" s="57">
        <v>0</v>
      </c>
      <c r="F32" s="57">
        <f>C32*D32</f>
        <v>566</v>
      </c>
      <c r="G32" s="57">
        <f>C32-E32-F32</f>
        <v>0</v>
      </c>
      <c r="H32" s="58"/>
    </row>
    <row r="33" spans="1:8" s="2" customFormat="1" ht="20.100000000000001" hidden="1" customHeight="1">
      <c r="A33" s="53">
        <v>2</v>
      </c>
      <c r="B33" s="54"/>
      <c r="C33" s="55"/>
      <c r="D33" s="59"/>
      <c r="E33" s="57"/>
      <c r="F33" s="57"/>
      <c r="G33" s="57"/>
      <c r="H33" s="60"/>
    </row>
    <row r="34" spans="1:8" s="2" customFormat="1" ht="20.100000000000001" hidden="1" customHeight="1">
      <c r="A34" s="53">
        <v>3</v>
      </c>
      <c r="B34" s="61"/>
      <c r="C34" s="55"/>
      <c r="D34" s="62"/>
      <c r="E34" s="63"/>
      <c r="F34" s="63"/>
      <c r="G34" s="63"/>
      <c r="H34" s="60"/>
    </row>
    <row r="35" spans="1:8" s="2" customFormat="1" ht="20.100000000000001" hidden="1" customHeight="1">
      <c r="A35" s="53">
        <v>4</v>
      </c>
      <c r="B35" s="54"/>
      <c r="C35" s="64"/>
      <c r="D35" s="62"/>
      <c r="E35" s="63"/>
      <c r="F35" s="63"/>
      <c r="G35" s="63"/>
      <c r="H35" s="60"/>
    </row>
    <row r="36" spans="1:8" s="2" customFormat="1" ht="20.100000000000001" hidden="1" customHeight="1">
      <c r="A36" s="53">
        <v>5</v>
      </c>
      <c r="B36" s="54"/>
      <c r="C36" s="64"/>
      <c r="D36" s="62"/>
      <c r="E36" s="63"/>
      <c r="F36" s="63"/>
      <c r="G36" s="63"/>
      <c r="H36" s="60"/>
    </row>
    <row r="37" spans="1:8" s="2" customFormat="1" ht="20.100000000000001" hidden="1" customHeight="1">
      <c r="A37" s="53">
        <v>6</v>
      </c>
      <c r="B37" s="65"/>
      <c r="C37" s="66"/>
      <c r="D37" s="67"/>
      <c r="E37" s="63"/>
      <c r="F37" s="63"/>
      <c r="G37" s="63"/>
      <c r="H37" s="60"/>
    </row>
    <row r="38" spans="1:8" s="2" customFormat="1" ht="20.100000000000001" hidden="1" customHeight="1">
      <c r="A38" s="53">
        <v>7</v>
      </c>
      <c r="B38" s="68"/>
      <c r="C38" s="66"/>
      <c r="D38" s="67"/>
      <c r="E38" s="63"/>
      <c r="F38" s="63"/>
      <c r="G38" s="63"/>
      <c r="H38" s="60"/>
    </row>
    <row r="39" spans="1:8" s="2" customFormat="1" ht="20.100000000000001" hidden="1" customHeight="1">
      <c r="A39" s="53">
        <v>8</v>
      </c>
      <c r="B39" s="65"/>
      <c r="C39" s="66"/>
      <c r="D39" s="67"/>
      <c r="E39" s="63"/>
      <c r="F39" s="63"/>
      <c r="G39" s="63"/>
      <c r="H39" s="60"/>
    </row>
    <row r="40" spans="1:8" s="2" customFormat="1" ht="20.100000000000001" hidden="1" customHeight="1">
      <c r="A40" s="53">
        <v>9</v>
      </c>
      <c r="B40" s="65"/>
      <c r="C40" s="66"/>
      <c r="D40" s="67"/>
      <c r="E40" s="63"/>
      <c r="F40" s="63"/>
      <c r="G40" s="63"/>
      <c r="H40" s="60"/>
    </row>
    <row r="41" spans="1:8" s="2" customFormat="1" ht="20.100000000000001" hidden="1" customHeight="1">
      <c r="A41" s="53">
        <v>10</v>
      </c>
      <c r="B41" s="65"/>
      <c r="C41" s="66"/>
      <c r="D41" s="67"/>
      <c r="E41" s="63"/>
      <c r="F41" s="63"/>
      <c r="G41" s="63"/>
      <c r="H41" s="69"/>
    </row>
    <row r="42" spans="1:8" ht="19.5" hidden="1">
      <c r="A42" s="13"/>
      <c r="B42" s="36" t="s">
        <v>17</v>
      </c>
      <c r="C42" s="37">
        <f t="shared" ref="C42:G42" si="4">SUM(C32:C41)</f>
        <v>566</v>
      </c>
      <c r="D42" s="38"/>
      <c r="E42" s="39">
        <f t="shared" si="4"/>
        <v>0</v>
      </c>
      <c r="F42" s="40">
        <f t="shared" si="4"/>
        <v>566</v>
      </c>
      <c r="G42" s="41">
        <f t="shared" si="4"/>
        <v>0</v>
      </c>
      <c r="H42" s="42"/>
    </row>
    <row r="43" spans="1:8" hidden="1"/>
    <row r="44" spans="1:8" ht="15.75" hidden="1">
      <c r="A44" s="45" t="s">
        <v>19</v>
      </c>
      <c r="B44" s="45"/>
      <c r="C44" s="45"/>
      <c r="D44" s="70" t="s">
        <v>23</v>
      </c>
      <c r="E44" s="45"/>
      <c r="F44" s="45"/>
      <c r="G44" s="46" t="s">
        <v>24</v>
      </c>
      <c r="H44" s="45"/>
    </row>
    <row r="45" spans="1:8" ht="15.75" hidden="1">
      <c r="A45" s="45"/>
      <c r="B45" s="45"/>
      <c r="C45" s="45"/>
      <c r="D45" s="71"/>
      <c r="E45" s="45"/>
      <c r="F45" s="45"/>
      <c r="G45" s="47"/>
      <c r="H45" s="45"/>
    </row>
    <row r="46" spans="1:8" ht="15.75" hidden="1">
      <c r="A46" s="45"/>
      <c r="B46" s="45"/>
      <c r="C46" s="45"/>
      <c r="D46" s="45"/>
      <c r="E46" s="45"/>
      <c r="F46" s="45"/>
      <c r="G46" s="48"/>
      <c r="H46" s="45"/>
    </row>
    <row r="47" spans="1:8" ht="15.75" hidden="1">
      <c r="A47" s="72" t="str">
        <f>A23</f>
        <v>PRINCE JOHN JOHAN F. ARAGON</v>
      </c>
      <c r="C47" s="45"/>
      <c r="D47" s="49" t="s">
        <v>21</v>
      </c>
      <c r="F47" s="49"/>
      <c r="G47" s="49" t="s">
        <v>25</v>
      </c>
    </row>
    <row r="48" spans="1:8" ht="15.75" hidden="1">
      <c r="A48" s="73" t="str">
        <f>A24</f>
        <v>Documentation Staff</v>
      </c>
      <c r="C48" s="50"/>
      <c r="D48" s="50" t="s">
        <v>26</v>
      </c>
      <c r="F48" s="50"/>
      <c r="G48" s="50" t="s">
        <v>27</v>
      </c>
    </row>
    <row r="49" spans="1:8" ht="15.75" hidden="1">
      <c r="A49" s="45"/>
      <c r="B49" s="45"/>
      <c r="C49" s="45"/>
      <c r="D49" s="45"/>
      <c r="E49" s="45"/>
      <c r="F49" s="45"/>
      <c r="G49" s="48"/>
      <c r="H49" s="45"/>
    </row>
    <row r="50" spans="1:8" hidden="1"/>
    <row r="51" spans="1:8" hidden="1">
      <c r="G51" s="74"/>
    </row>
    <row r="52" spans="1:8" hidden="1">
      <c r="G52" s="74"/>
    </row>
    <row r="53" spans="1:8" ht="23.25">
      <c r="A53" s="105"/>
      <c r="B53" s="105"/>
      <c r="C53" s="105"/>
      <c r="D53" s="105"/>
      <c r="E53" s="105"/>
      <c r="F53" s="105"/>
      <c r="G53" s="105"/>
      <c r="H53" s="105"/>
    </row>
    <row r="54" spans="1:8" ht="18.75">
      <c r="A54" s="75"/>
      <c r="B54" s="76"/>
      <c r="C54" s="77"/>
      <c r="D54" s="78"/>
      <c r="E54" s="79"/>
      <c r="F54" s="79"/>
      <c r="G54" s="79"/>
      <c r="H54" s="80"/>
    </row>
    <row r="55" spans="1:8" ht="18.75">
      <c r="A55" s="75"/>
      <c r="B55" s="76"/>
      <c r="C55" s="77"/>
      <c r="D55" s="78"/>
      <c r="E55" s="79"/>
      <c r="F55" s="79"/>
      <c r="G55" s="79"/>
      <c r="H55" s="80"/>
    </row>
    <row r="56" spans="1:8" ht="18.75">
      <c r="A56" s="75"/>
      <c r="B56" s="76"/>
      <c r="C56" s="77"/>
      <c r="D56" s="78"/>
      <c r="E56" s="79"/>
      <c r="F56" s="79"/>
      <c r="G56" s="79"/>
      <c r="H56" s="80"/>
    </row>
    <row r="57" spans="1:8" ht="18.75">
      <c r="A57" s="75"/>
      <c r="B57" s="76"/>
      <c r="C57" s="77"/>
      <c r="D57" s="78"/>
      <c r="E57" s="79"/>
      <c r="F57" s="79"/>
      <c r="G57" s="79"/>
      <c r="H57" s="80"/>
    </row>
    <row r="58" spans="1:8" ht="18.75">
      <c r="A58" s="75"/>
      <c r="B58" s="76"/>
      <c r="C58" s="77"/>
      <c r="D58" s="78"/>
      <c r="E58" s="79"/>
      <c r="F58" s="79"/>
      <c r="G58" s="79"/>
      <c r="H58" s="80"/>
    </row>
    <row r="59" spans="1:8" ht="18.75">
      <c r="A59" s="75"/>
      <c r="B59" s="81"/>
      <c r="C59" s="77"/>
      <c r="D59" s="78"/>
      <c r="E59" s="79"/>
      <c r="F59" s="79"/>
      <c r="G59" s="79"/>
      <c r="H59" s="82"/>
    </row>
    <row r="60" spans="1:8" ht="18.75">
      <c r="A60" s="75"/>
      <c r="B60" s="106"/>
      <c r="C60" s="106"/>
      <c r="D60" s="106"/>
      <c r="E60" s="79"/>
      <c r="F60" s="79"/>
      <c r="G60" s="79"/>
      <c r="H60" s="82"/>
    </row>
    <row r="61" spans="1:8" ht="18.75">
      <c r="A61" s="75"/>
      <c r="B61" s="107"/>
      <c r="C61" s="107"/>
      <c r="D61" s="107"/>
      <c r="E61" s="79"/>
      <c r="F61" s="79"/>
      <c r="G61" s="79"/>
      <c r="H61" s="82"/>
    </row>
    <row r="62" spans="1:8" ht="18.75">
      <c r="A62" s="75"/>
      <c r="B62" s="108"/>
      <c r="C62" s="108"/>
      <c r="D62" s="108"/>
      <c r="E62" s="79"/>
      <c r="F62" s="79"/>
      <c r="G62" s="79"/>
      <c r="H62" s="82"/>
    </row>
    <row r="63" spans="1:8" ht="18.75">
      <c r="A63" s="75"/>
      <c r="B63" s="109"/>
      <c r="C63" s="109"/>
      <c r="D63" s="109"/>
      <c r="E63" s="79"/>
      <c r="F63" s="79"/>
      <c r="G63" s="79"/>
      <c r="H63" s="83"/>
    </row>
    <row r="64" spans="1:8" ht="19.5">
      <c r="A64" s="84"/>
      <c r="B64" s="85"/>
      <c r="C64" s="86"/>
      <c r="D64" s="87"/>
      <c r="E64" s="88"/>
      <c r="F64" s="89"/>
      <c r="G64" s="90"/>
      <c r="H64" s="91"/>
    </row>
    <row r="65" spans="1:8" ht="17.25">
      <c r="A65" s="102"/>
      <c r="B65" s="102"/>
      <c r="C65" s="102"/>
      <c r="D65" s="102"/>
      <c r="E65" s="102"/>
      <c r="F65" s="102"/>
      <c r="G65" s="102"/>
      <c r="H65" s="102"/>
    </row>
    <row r="66" spans="1:8" ht="15.75">
      <c r="A66" s="45"/>
      <c r="B66" s="45"/>
      <c r="C66" s="45"/>
      <c r="D66" s="45"/>
      <c r="E66" s="45"/>
      <c r="F66" s="45"/>
      <c r="G66" s="92"/>
      <c r="H66" s="45"/>
    </row>
    <row r="67" spans="1:8" ht="15.75">
      <c r="A67" s="45"/>
      <c r="B67" s="45"/>
      <c r="C67" s="45"/>
      <c r="D67" s="45"/>
      <c r="E67" s="45"/>
      <c r="F67" s="45"/>
      <c r="G67" s="47"/>
      <c r="H67" s="45"/>
    </row>
    <row r="68" spans="1:8" ht="15.75">
      <c r="A68" s="45"/>
      <c r="B68" s="45"/>
      <c r="C68" s="45"/>
      <c r="D68" s="45"/>
      <c r="E68" s="45"/>
      <c r="F68" s="45"/>
      <c r="G68" s="48"/>
      <c r="H68" s="45"/>
    </row>
    <row r="69" spans="1:8" ht="15.75">
      <c r="A69" s="49"/>
      <c r="C69" s="45"/>
      <c r="D69" s="49"/>
      <c r="F69" s="49"/>
      <c r="G69" s="49"/>
    </row>
    <row r="70" spans="1:8" ht="15.75">
      <c r="A70" s="50"/>
      <c r="C70" s="50"/>
      <c r="D70" s="50"/>
      <c r="F70" s="50"/>
      <c r="G70" s="50"/>
    </row>
    <row r="71" spans="1:8">
      <c r="A71" s="51"/>
      <c r="B71" s="51"/>
      <c r="C71" s="51"/>
      <c r="D71" s="51"/>
      <c r="E71" s="51"/>
      <c r="F71" s="51"/>
      <c r="G71" s="52"/>
      <c r="H71" s="51"/>
    </row>
  </sheetData>
  <mergeCells count="18">
    <mergeCell ref="B63:D63"/>
    <mergeCell ref="A65:H65"/>
    <mergeCell ref="G29:H29"/>
    <mergeCell ref="A53:H53"/>
    <mergeCell ref="B60:D60"/>
    <mergeCell ref="B61:D61"/>
    <mergeCell ref="B62:D62"/>
    <mergeCell ref="G4:H4"/>
    <mergeCell ref="A26:H26"/>
    <mergeCell ref="C27:D27"/>
    <mergeCell ref="G27:H27"/>
    <mergeCell ref="C28:D28"/>
    <mergeCell ref="G28:H28"/>
    <mergeCell ref="A1:H1"/>
    <mergeCell ref="C2:D2"/>
    <mergeCell ref="G2:H2"/>
    <mergeCell ref="C3:D3"/>
    <mergeCell ref="G3:H3"/>
  </mergeCells>
  <printOptions horizontalCentered="1"/>
  <pageMargins left="0" right="0" top="0.196850393700787" bottom="0" header="0" footer="0"/>
  <pageSetup paperSize="9" scale="80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L71"/>
  <sheetViews>
    <sheetView view="pageBreakPreview" zoomScale="77" zoomScaleNormal="70" zoomScaleSheetLayoutView="77" workbookViewId="0">
      <selection activeCell="D64" sqref="D64"/>
    </sheetView>
  </sheetViews>
  <sheetFormatPr defaultColWidth="9" defaultRowHeight="15"/>
  <cols>
    <col min="1" max="1" width="5.7109375" customWidth="1"/>
    <col min="2" max="2" width="31.42578125" customWidth="1"/>
    <col min="3" max="3" width="15.85546875" customWidth="1"/>
    <col min="4" max="4" width="14.140625" customWidth="1"/>
    <col min="5" max="5" width="15.140625" customWidth="1"/>
    <col min="6" max="6" width="14.5703125" customWidth="1"/>
    <col min="7" max="7" width="14.42578125" style="3" customWidth="1"/>
    <col min="8" max="8" width="15.42578125" customWidth="1"/>
    <col min="10" max="10" width="14.85546875" customWidth="1"/>
  </cols>
  <sheetData>
    <row r="1" spans="1:10" s="1" customFormat="1" ht="23.25">
      <c r="A1" s="97" t="s">
        <v>0</v>
      </c>
      <c r="B1" s="97"/>
      <c r="C1" s="97"/>
      <c r="D1" s="97"/>
      <c r="E1" s="97"/>
      <c r="F1" s="97"/>
      <c r="G1" s="97"/>
      <c r="H1" s="97"/>
    </row>
    <row r="2" spans="1:10" s="1" customFormat="1" ht="21">
      <c r="A2" s="4"/>
      <c r="B2" s="5" t="s">
        <v>1</v>
      </c>
      <c r="C2" s="98" t="s">
        <v>33</v>
      </c>
      <c r="D2" s="98"/>
      <c r="E2" s="5" t="s">
        <v>3</v>
      </c>
      <c r="F2" s="5"/>
      <c r="G2" s="99">
        <v>46206</v>
      </c>
      <c r="H2" s="99"/>
    </row>
    <row r="3" spans="1:10" ht="19.5">
      <c r="A3" s="6"/>
      <c r="B3" s="5" t="s">
        <v>4</v>
      </c>
      <c r="C3" s="100" t="s">
        <v>53</v>
      </c>
      <c r="D3" s="100"/>
      <c r="E3" s="5" t="s">
        <v>5</v>
      </c>
      <c r="F3" s="7"/>
      <c r="G3" s="101" t="s">
        <v>30</v>
      </c>
      <c r="H3" s="101"/>
      <c r="J3" s="8"/>
    </row>
    <row r="4" spans="1:10" ht="19.5">
      <c r="A4" s="6"/>
      <c r="B4" s="5" t="s">
        <v>6</v>
      </c>
      <c r="C4" s="9">
        <f>C18</f>
        <v>984</v>
      </c>
      <c r="D4" s="10" t="s">
        <v>7</v>
      </c>
      <c r="E4" s="5" t="s">
        <v>8</v>
      </c>
      <c r="F4" s="11"/>
      <c r="G4" s="96">
        <v>15470</v>
      </c>
      <c r="H4" s="96"/>
    </row>
    <row r="5" spans="1:10" ht="6.75" customHeight="1">
      <c r="A5" s="6"/>
      <c r="B5" s="6"/>
      <c r="C5" s="6"/>
      <c r="D5" s="6"/>
      <c r="E5" s="6"/>
      <c r="F5" s="6"/>
      <c r="G5" s="12"/>
      <c r="H5" s="6"/>
    </row>
    <row r="6" spans="1:10" ht="39">
      <c r="A6" s="13" t="s">
        <v>9</v>
      </c>
      <c r="B6" s="13" t="s">
        <v>10</v>
      </c>
      <c r="C6" s="14" t="s">
        <v>11</v>
      </c>
      <c r="D6" s="14" t="s">
        <v>12</v>
      </c>
      <c r="E6" s="14" t="s">
        <v>13</v>
      </c>
      <c r="F6" s="14" t="s">
        <v>14</v>
      </c>
      <c r="G6" s="15" t="s">
        <v>15</v>
      </c>
      <c r="H6" s="14" t="s">
        <v>16</v>
      </c>
    </row>
    <row r="7" spans="1:10" s="2" customFormat="1" ht="20.100000000000001" customHeight="1">
      <c r="A7" s="16">
        <v>1</v>
      </c>
      <c r="B7" s="17" t="s">
        <v>40</v>
      </c>
      <c r="C7" s="18">
        <v>984</v>
      </c>
      <c r="D7" s="19">
        <v>1</v>
      </c>
      <c r="E7" s="20">
        <f>(C7*D7)</f>
        <v>984</v>
      </c>
      <c r="F7" s="20">
        <v>0</v>
      </c>
      <c r="G7" s="21">
        <v>0</v>
      </c>
      <c r="H7" s="22"/>
      <c r="J7" s="23">
        <f t="shared" ref="J7:J18" si="0">E7+F7+G7</f>
        <v>984</v>
      </c>
    </row>
    <row r="8" spans="1:10" s="2" customFormat="1" ht="20.100000000000001" customHeight="1">
      <c r="A8" s="16">
        <v>2</v>
      </c>
      <c r="B8" s="17"/>
      <c r="C8" s="18"/>
      <c r="D8" s="19"/>
      <c r="E8" s="20">
        <f t="shared" ref="E8:E11" si="1">ROUND(C8*D8,0)</f>
        <v>0</v>
      </c>
      <c r="F8" s="20">
        <v>0</v>
      </c>
      <c r="G8" s="21">
        <f>C8-E8</f>
        <v>0</v>
      </c>
      <c r="H8" s="24"/>
      <c r="J8" s="23">
        <f t="shared" si="0"/>
        <v>0</v>
      </c>
    </row>
    <row r="9" spans="1:10" s="2" customFormat="1" ht="20.100000000000001" customHeight="1">
      <c r="A9" s="16">
        <v>3</v>
      </c>
      <c r="B9" s="17"/>
      <c r="C9" s="18"/>
      <c r="D9" s="19"/>
      <c r="E9" s="20">
        <f t="shared" si="1"/>
        <v>0</v>
      </c>
      <c r="F9" s="20">
        <v>0</v>
      </c>
      <c r="G9" s="21">
        <v>0</v>
      </c>
      <c r="H9" s="24"/>
      <c r="J9" s="23">
        <f t="shared" si="0"/>
        <v>0</v>
      </c>
    </row>
    <row r="10" spans="1:10" s="2" customFormat="1" ht="20.100000000000001" customHeight="1">
      <c r="A10" s="16">
        <v>4</v>
      </c>
      <c r="B10" s="17"/>
      <c r="C10" s="18"/>
      <c r="D10" s="19"/>
      <c r="E10" s="20">
        <f t="shared" si="1"/>
        <v>0</v>
      </c>
      <c r="F10" s="20">
        <v>0</v>
      </c>
      <c r="G10" s="21">
        <f>C10-E10</f>
        <v>0</v>
      </c>
      <c r="H10" s="24"/>
      <c r="J10" s="23">
        <f t="shared" si="0"/>
        <v>0</v>
      </c>
    </row>
    <row r="11" spans="1:10" s="2" customFormat="1" ht="20.100000000000001" customHeight="1">
      <c r="A11" s="16">
        <v>5</v>
      </c>
      <c r="B11" s="17"/>
      <c r="C11" s="18"/>
      <c r="D11" s="19"/>
      <c r="E11" s="20">
        <f t="shared" si="1"/>
        <v>0</v>
      </c>
      <c r="F11" s="20">
        <v>0</v>
      </c>
      <c r="G11" s="21">
        <f>C11-E11</f>
        <v>0</v>
      </c>
      <c r="H11" s="25"/>
      <c r="J11" s="23">
        <f t="shared" si="0"/>
        <v>0</v>
      </c>
    </row>
    <row r="12" spans="1:10" s="2" customFormat="1" ht="20.100000000000001" customHeight="1">
      <c r="A12" s="16">
        <v>6</v>
      </c>
      <c r="B12" s="17"/>
      <c r="C12" s="18"/>
      <c r="D12" s="26"/>
      <c r="E12" s="20">
        <f t="shared" ref="E12:E17" si="2">ROUND(C12*D12,0)</f>
        <v>0</v>
      </c>
      <c r="F12" s="20">
        <v>0</v>
      </c>
      <c r="G12" s="21">
        <f t="shared" ref="G12:G17" si="3">C12-E12-F12</f>
        <v>0</v>
      </c>
      <c r="H12" s="27"/>
      <c r="J12" s="23">
        <f t="shared" si="0"/>
        <v>0</v>
      </c>
    </row>
    <row r="13" spans="1:10" s="2" customFormat="1" ht="19.5" customHeight="1">
      <c r="A13" s="16">
        <v>7</v>
      </c>
      <c r="B13" s="17"/>
      <c r="C13" s="28"/>
      <c r="D13" s="29"/>
      <c r="E13" s="20">
        <f t="shared" si="2"/>
        <v>0</v>
      </c>
      <c r="F13" s="20">
        <v>0</v>
      </c>
      <c r="G13" s="21">
        <f t="shared" si="3"/>
        <v>0</v>
      </c>
      <c r="H13" s="30"/>
      <c r="J13" s="23">
        <f t="shared" si="0"/>
        <v>0</v>
      </c>
    </row>
    <row r="14" spans="1:10" s="2" customFormat="1" ht="19.5" customHeight="1">
      <c r="A14" s="16">
        <v>8</v>
      </c>
      <c r="B14" s="17"/>
      <c r="C14" s="28"/>
      <c r="D14" s="29"/>
      <c r="E14" s="20">
        <f t="shared" si="2"/>
        <v>0</v>
      </c>
      <c r="F14" s="20">
        <v>0</v>
      </c>
      <c r="G14" s="21">
        <f t="shared" si="3"/>
        <v>0</v>
      </c>
      <c r="H14" s="30"/>
      <c r="J14" s="23">
        <f t="shared" si="0"/>
        <v>0</v>
      </c>
    </row>
    <row r="15" spans="1:10" s="2" customFormat="1" ht="19.5" customHeight="1">
      <c r="A15" s="16">
        <v>9</v>
      </c>
      <c r="B15" s="31"/>
      <c r="C15" s="32"/>
      <c r="D15" s="33"/>
      <c r="E15" s="20">
        <f t="shared" si="2"/>
        <v>0</v>
      </c>
      <c r="F15" s="20">
        <v>0</v>
      </c>
      <c r="G15" s="21">
        <f t="shared" si="3"/>
        <v>0</v>
      </c>
      <c r="H15" s="30"/>
      <c r="J15" s="23">
        <f t="shared" si="0"/>
        <v>0</v>
      </c>
    </row>
    <row r="16" spans="1:10" s="2" customFormat="1" ht="19.5" customHeight="1">
      <c r="A16" s="16">
        <v>10</v>
      </c>
      <c r="B16" s="34"/>
      <c r="C16" s="35"/>
      <c r="D16" s="33"/>
      <c r="E16" s="20">
        <f t="shared" si="2"/>
        <v>0</v>
      </c>
      <c r="F16" s="20">
        <v>0</v>
      </c>
      <c r="G16" s="21">
        <f t="shared" si="3"/>
        <v>0</v>
      </c>
      <c r="H16" s="30"/>
      <c r="J16" s="23">
        <f t="shared" si="0"/>
        <v>0</v>
      </c>
    </row>
    <row r="17" spans="1:12" s="2" customFormat="1" ht="19.5" customHeight="1">
      <c r="A17" s="16">
        <v>11</v>
      </c>
      <c r="B17" s="34"/>
      <c r="C17" s="35"/>
      <c r="D17" s="33"/>
      <c r="E17" s="20">
        <f t="shared" si="2"/>
        <v>0</v>
      </c>
      <c r="F17" s="20">
        <v>0</v>
      </c>
      <c r="G17" s="21">
        <f t="shared" si="3"/>
        <v>0</v>
      </c>
      <c r="H17" s="30"/>
      <c r="J17" s="23">
        <f t="shared" si="0"/>
        <v>0</v>
      </c>
    </row>
    <row r="18" spans="1:12" ht="19.5">
      <c r="A18" s="13"/>
      <c r="B18" s="36" t="s">
        <v>17</v>
      </c>
      <c r="C18" s="37">
        <f t="shared" ref="C18:G18" si="4">SUM(C7:C17)</f>
        <v>984</v>
      </c>
      <c r="D18" s="38"/>
      <c r="E18" s="39">
        <f>SUM(E7:E17)</f>
        <v>984</v>
      </c>
      <c r="F18" s="40">
        <f t="shared" si="4"/>
        <v>0</v>
      </c>
      <c r="G18" s="41">
        <f t="shared" si="4"/>
        <v>0</v>
      </c>
      <c r="H18" s="42"/>
      <c r="J18" s="43">
        <f t="shared" si="0"/>
        <v>984</v>
      </c>
      <c r="L18" s="8" t="s">
        <v>18</v>
      </c>
    </row>
    <row r="19" spans="1:12" ht="9" customHeight="1">
      <c r="A19" s="44"/>
      <c r="B19" s="44"/>
      <c r="C19" s="44"/>
      <c r="D19" s="44"/>
      <c r="E19" s="44"/>
      <c r="F19" s="44"/>
      <c r="G19" s="44"/>
      <c r="H19" s="44"/>
    </row>
    <row r="20" spans="1:12" ht="15.75">
      <c r="A20" s="45" t="s">
        <v>19</v>
      </c>
      <c r="B20" s="45"/>
      <c r="C20" s="45"/>
      <c r="D20" s="45" t="s">
        <v>20</v>
      </c>
      <c r="E20" s="45"/>
      <c r="F20" s="45"/>
      <c r="G20" s="46"/>
      <c r="H20" s="45"/>
    </row>
    <row r="21" spans="1:12" ht="15.75">
      <c r="A21" s="45"/>
      <c r="B21" s="45"/>
      <c r="C21" s="45"/>
      <c r="D21" s="45"/>
      <c r="E21" s="45"/>
      <c r="F21" s="45"/>
      <c r="G21" s="47"/>
      <c r="H21" s="45"/>
    </row>
    <row r="22" spans="1:12" ht="15.75">
      <c r="A22" s="45"/>
      <c r="B22" s="45"/>
      <c r="C22" s="45"/>
      <c r="D22" s="45"/>
      <c r="E22" s="45"/>
      <c r="F22" s="45"/>
      <c r="G22" s="48"/>
      <c r="H22" s="45"/>
    </row>
    <row r="23" spans="1:12" ht="15.75">
      <c r="A23" s="49" t="s">
        <v>36</v>
      </c>
      <c r="C23" s="45"/>
      <c r="D23" s="49" t="s">
        <v>21</v>
      </c>
      <c r="F23" s="49"/>
      <c r="G23" s="49"/>
    </row>
    <row r="24" spans="1:12" ht="15.75">
      <c r="A24" s="50" t="s">
        <v>35</v>
      </c>
      <c r="C24" s="50"/>
      <c r="D24" s="50" t="s">
        <v>42</v>
      </c>
      <c r="F24" s="50"/>
      <c r="G24" s="50"/>
    </row>
    <row r="25" spans="1:12">
      <c r="A25" s="51"/>
      <c r="B25" s="51"/>
      <c r="C25" s="51"/>
      <c r="D25" s="51"/>
      <c r="E25" s="51"/>
      <c r="F25" s="51"/>
      <c r="G25" s="52"/>
      <c r="H25" s="51"/>
    </row>
    <row r="26" spans="1:12" s="1" customFormat="1" ht="23.25" hidden="1">
      <c r="A26" s="97" t="s">
        <v>0</v>
      </c>
      <c r="B26" s="97"/>
      <c r="C26" s="97"/>
      <c r="D26" s="97"/>
      <c r="E26" s="97"/>
      <c r="F26" s="97"/>
      <c r="G26" s="97"/>
      <c r="H26" s="97"/>
    </row>
    <row r="27" spans="1:12" s="1" customFormat="1" ht="21" hidden="1">
      <c r="A27" s="4"/>
      <c r="B27" s="5" t="s">
        <v>1</v>
      </c>
      <c r="C27" s="98" t="str">
        <f>C2</f>
        <v>TSUKIDEN</v>
      </c>
      <c r="D27" s="98"/>
      <c r="E27" s="5" t="s">
        <v>3</v>
      </c>
      <c r="F27" s="5"/>
      <c r="G27" s="103">
        <f>G2</f>
        <v>46206</v>
      </c>
      <c r="H27" s="103"/>
    </row>
    <row r="28" spans="1:12" ht="19.5" hidden="1">
      <c r="A28" s="6"/>
      <c r="B28" s="5" t="s">
        <v>4</v>
      </c>
      <c r="C28" s="100" t="str">
        <f>C3</f>
        <v>M-R4A-2026-07-628498</v>
      </c>
      <c r="D28" s="104"/>
      <c r="E28" s="5" t="s">
        <v>5</v>
      </c>
      <c r="F28" s="7"/>
      <c r="G28" s="101"/>
      <c r="H28" s="101"/>
    </row>
    <row r="29" spans="1:12" ht="19.5" hidden="1">
      <c r="A29" s="6"/>
      <c r="B29" s="5" t="s">
        <v>6</v>
      </c>
      <c r="C29" s="9">
        <f>C4</f>
        <v>984</v>
      </c>
      <c r="D29" s="10" t="s">
        <v>7</v>
      </c>
      <c r="E29" s="5" t="s">
        <v>8</v>
      </c>
      <c r="F29" s="11"/>
      <c r="G29" s="101"/>
      <c r="H29" s="101"/>
    </row>
    <row r="30" spans="1:12" ht="19.5" hidden="1">
      <c r="A30" s="6"/>
      <c r="B30" s="6"/>
      <c r="C30" s="6"/>
      <c r="D30" s="6"/>
      <c r="E30" s="6"/>
      <c r="F30" s="6"/>
      <c r="G30" s="12"/>
      <c r="H30" s="6"/>
    </row>
    <row r="31" spans="1:12" ht="39" hidden="1">
      <c r="A31" s="13" t="s">
        <v>9</v>
      </c>
      <c r="B31" s="13" t="s">
        <v>10</v>
      </c>
      <c r="C31" s="14" t="s">
        <v>11</v>
      </c>
      <c r="D31" s="14" t="s">
        <v>12</v>
      </c>
      <c r="E31" s="14" t="s">
        <v>13</v>
      </c>
      <c r="F31" s="14" t="s">
        <v>14</v>
      </c>
      <c r="G31" s="15" t="s">
        <v>15</v>
      </c>
      <c r="H31" s="14" t="s">
        <v>16</v>
      </c>
    </row>
    <row r="32" spans="1:12" s="2" customFormat="1" ht="20.100000000000001" hidden="1" customHeight="1">
      <c r="A32" s="53">
        <v>1</v>
      </c>
      <c r="B32" s="54" t="s">
        <v>22</v>
      </c>
      <c r="C32" s="55">
        <v>566</v>
      </c>
      <c r="D32" s="56">
        <v>1</v>
      </c>
      <c r="E32" s="57">
        <v>0</v>
      </c>
      <c r="F32" s="57">
        <f>C32*D32</f>
        <v>566</v>
      </c>
      <c r="G32" s="57">
        <f>C32-E32-F32</f>
        <v>0</v>
      </c>
      <c r="H32" s="58"/>
    </row>
    <row r="33" spans="1:8" s="2" customFormat="1" ht="20.100000000000001" hidden="1" customHeight="1">
      <c r="A33" s="53">
        <v>2</v>
      </c>
      <c r="B33" s="54"/>
      <c r="C33" s="55"/>
      <c r="D33" s="59"/>
      <c r="E33" s="57"/>
      <c r="F33" s="57"/>
      <c r="G33" s="57"/>
      <c r="H33" s="60"/>
    </row>
    <row r="34" spans="1:8" s="2" customFormat="1" ht="20.100000000000001" hidden="1" customHeight="1">
      <c r="A34" s="53">
        <v>3</v>
      </c>
      <c r="B34" s="61"/>
      <c r="C34" s="55"/>
      <c r="D34" s="62"/>
      <c r="E34" s="63"/>
      <c r="F34" s="63"/>
      <c r="G34" s="63"/>
      <c r="H34" s="60"/>
    </row>
    <row r="35" spans="1:8" s="2" customFormat="1" ht="20.100000000000001" hidden="1" customHeight="1">
      <c r="A35" s="53">
        <v>4</v>
      </c>
      <c r="B35" s="54"/>
      <c r="C35" s="64"/>
      <c r="D35" s="62"/>
      <c r="E35" s="63"/>
      <c r="F35" s="63"/>
      <c r="G35" s="63"/>
      <c r="H35" s="60"/>
    </row>
    <row r="36" spans="1:8" s="2" customFormat="1" ht="20.100000000000001" hidden="1" customHeight="1">
      <c r="A36" s="53">
        <v>5</v>
      </c>
      <c r="B36" s="54"/>
      <c r="C36" s="64"/>
      <c r="D36" s="62"/>
      <c r="E36" s="63"/>
      <c r="F36" s="63"/>
      <c r="G36" s="63"/>
      <c r="H36" s="60"/>
    </row>
    <row r="37" spans="1:8" s="2" customFormat="1" ht="20.100000000000001" hidden="1" customHeight="1">
      <c r="A37" s="53">
        <v>6</v>
      </c>
      <c r="B37" s="65"/>
      <c r="C37" s="66"/>
      <c r="D37" s="67"/>
      <c r="E37" s="63"/>
      <c r="F37" s="63"/>
      <c r="G37" s="63"/>
      <c r="H37" s="60"/>
    </row>
    <row r="38" spans="1:8" s="2" customFormat="1" ht="20.100000000000001" hidden="1" customHeight="1">
      <c r="A38" s="53">
        <v>7</v>
      </c>
      <c r="B38" s="68"/>
      <c r="C38" s="66"/>
      <c r="D38" s="67"/>
      <c r="E38" s="63"/>
      <c r="F38" s="63"/>
      <c r="G38" s="63"/>
      <c r="H38" s="60"/>
    </row>
    <row r="39" spans="1:8" s="2" customFormat="1" ht="20.100000000000001" hidden="1" customHeight="1">
      <c r="A39" s="53">
        <v>8</v>
      </c>
      <c r="B39" s="65"/>
      <c r="C39" s="66"/>
      <c r="D39" s="67"/>
      <c r="E39" s="63"/>
      <c r="F39" s="63"/>
      <c r="G39" s="63"/>
      <c r="H39" s="60"/>
    </row>
    <row r="40" spans="1:8" s="2" customFormat="1" ht="20.100000000000001" hidden="1" customHeight="1">
      <c r="A40" s="53">
        <v>9</v>
      </c>
      <c r="B40" s="65"/>
      <c r="C40" s="66"/>
      <c r="D40" s="67"/>
      <c r="E40" s="63"/>
      <c r="F40" s="63"/>
      <c r="G40" s="63"/>
      <c r="H40" s="60"/>
    </row>
    <row r="41" spans="1:8" s="2" customFormat="1" ht="20.100000000000001" hidden="1" customHeight="1">
      <c r="A41" s="53">
        <v>10</v>
      </c>
      <c r="B41" s="65"/>
      <c r="C41" s="66"/>
      <c r="D41" s="67"/>
      <c r="E41" s="63"/>
      <c r="F41" s="63"/>
      <c r="G41" s="63"/>
      <c r="H41" s="69"/>
    </row>
    <row r="42" spans="1:8" ht="19.5" hidden="1">
      <c r="A42" s="13"/>
      <c r="B42" s="36" t="s">
        <v>17</v>
      </c>
      <c r="C42" s="37">
        <f t="shared" ref="C42:G42" si="5">SUM(C32:C41)</f>
        <v>566</v>
      </c>
      <c r="D42" s="38"/>
      <c r="E42" s="39">
        <f t="shared" si="5"/>
        <v>0</v>
      </c>
      <c r="F42" s="40">
        <f t="shared" si="5"/>
        <v>566</v>
      </c>
      <c r="G42" s="41">
        <f t="shared" si="5"/>
        <v>0</v>
      </c>
      <c r="H42" s="42"/>
    </row>
    <row r="43" spans="1:8" hidden="1"/>
    <row r="44" spans="1:8" ht="15.75" hidden="1">
      <c r="A44" s="45" t="s">
        <v>19</v>
      </c>
      <c r="B44" s="45"/>
      <c r="C44" s="45"/>
      <c r="D44" s="70" t="s">
        <v>23</v>
      </c>
      <c r="E44" s="45"/>
      <c r="F44" s="45"/>
      <c r="G44" s="46" t="s">
        <v>24</v>
      </c>
      <c r="H44" s="45"/>
    </row>
    <row r="45" spans="1:8" ht="15.75" hidden="1">
      <c r="A45" s="45"/>
      <c r="B45" s="45"/>
      <c r="C45" s="45"/>
      <c r="D45" s="71"/>
      <c r="E45" s="45"/>
      <c r="F45" s="45"/>
      <c r="G45" s="47"/>
      <c r="H45" s="45"/>
    </row>
    <row r="46" spans="1:8" ht="15.75" hidden="1">
      <c r="A46" s="45"/>
      <c r="B46" s="45"/>
      <c r="C46" s="45"/>
      <c r="D46" s="45"/>
      <c r="E46" s="45"/>
      <c r="F46" s="45"/>
      <c r="G46" s="48"/>
      <c r="H46" s="45"/>
    </row>
    <row r="47" spans="1:8" ht="15.75" hidden="1">
      <c r="A47" s="72" t="str">
        <f>A23</f>
        <v>PRINCE JOHN JOHAN F. ARAGON</v>
      </c>
      <c r="C47" s="45"/>
      <c r="D47" s="49" t="s">
        <v>21</v>
      </c>
      <c r="F47" s="49"/>
      <c r="G47" s="49" t="s">
        <v>25</v>
      </c>
    </row>
    <row r="48" spans="1:8" ht="15.75" hidden="1">
      <c r="A48" s="73" t="str">
        <f>A24</f>
        <v>Documentation Staff</v>
      </c>
      <c r="C48" s="50"/>
      <c r="D48" s="50" t="s">
        <v>26</v>
      </c>
      <c r="F48" s="50"/>
      <c r="G48" s="50" t="s">
        <v>27</v>
      </c>
    </row>
    <row r="49" spans="1:8" ht="15.75" hidden="1">
      <c r="A49" s="45"/>
      <c r="B49" s="45"/>
      <c r="C49" s="45"/>
      <c r="D49" s="45"/>
      <c r="E49" s="45"/>
      <c r="F49" s="45"/>
      <c r="G49" s="48"/>
      <c r="H49" s="45"/>
    </row>
    <row r="50" spans="1:8" hidden="1"/>
    <row r="51" spans="1:8" hidden="1">
      <c r="G51" s="74"/>
    </row>
    <row r="52" spans="1:8" hidden="1">
      <c r="G52" s="74"/>
    </row>
    <row r="53" spans="1:8" ht="23.25">
      <c r="A53" s="105"/>
      <c r="B53" s="105"/>
      <c r="C53" s="105"/>
      <c r="D53" s="105"/>
      <c r="E53" s="105"/>
      <c r="F53" s="105"/>
      <c r="G53" s="105"/>
      <c r="H53" s="105"/>
    </row>
    <row r="54" spans="1:8" ht="18.75">
      <c r="A54" s="75"/>
      <c r="B54" s="76"/>
      <c r="C54" s="77"/>
      <c r="D54" s="78"/>
      <c r="E54" s="79"/>
      <c r="F54" s="79"/>
      <c r="G54" s="79"/>
      <c r="H54" s="80"/>
    </row>
    <row r="55" spans="1:8" ht="18.75">
      <c r="A55" s="75"/>
      <c r="B55" s="76"/>
      <c r="C55" s="77"/>
      <c r="D55" s="78"/>
      <c r="E55" s="79"/>
      <c r="F55" s="79"/>
      <c r="G55" s="79"/>
      <c r="H55" s="80"/>
    </row>
    <row r="56" spans="1:8" ht="18.75">
      <c r="A56" s="75"/>
      <c r="B56" s="76"/>
      <c r="C56" s="77"/>
      <c r="D56" s="78"/>
      <c r="E56" s="79"/>
      <c r="F56" s="79"/>
      <c r="G56" s="79"/>
      <c r="H56" s="80"/>
    </row>
    <row r="57" spans="1:8" ht="18.75">
      <c r="A57" s="75"/>
      <c r="B57" s="76"/>
      <c r="C57" s="77"/>
      <c r="D57" s="78"/>
      <c r="E57" s="79"/>
      <c r="F57" s="79"/>
      <c r="G57" s="79"/>
      <c r="H57" s="80"/>
    </row>
    <row r="58" spans="1:8" ht="18.75">
      <c r="A58" s="75"/>
      <c r="B58" s="76"/>
      <c r="C58" s="77"/>
      <c r="D58" s="78"/>
      <c r="E58" s="79"/>
      <c r="F58" s="79"/>
      <c r="G58" s="79"/>
      <c r="H58" s="80"/>
    </row>
    <row r="59" spans="1:8" ht="18.75">
      <c r="A59" s="75"/>
      <c r="B59" s="81"/>
      <c r="C59" s="77"/>
      <c r="D59" s="78"/>
      <c r="E59" s="79"/>
      <c r="F59" s="79"/>
      <c r="G59" s="79"/>
      <c r="H59" s="82"/>
    </row>
    <row r="60" spans="1:8" ht="18.75">
      <c r="A60" s="75"/>
      <c r="B60" s="106"/>
      <c r="C60" s="106"/>
      <c r="D60" s="106"/>
      <c r="E60" s="79"/>
      <c r="F60" s="79"/>
      <c r="G60" s="79"/>
      <c r="H60" s="82"/>
    </row>
    <row r="61" spans="1:8" ht="18.75">
      <c r="A61" s="75"/>
      <c r="B61" s="107"/>
      <c r="C61" s="107"/>
      <c r="D61" s="107"/>
      <c r="E61" s="79"/>
      <c r="F61" s="79"/>
      <c r="G61" s="79"/>
      <c r="H61" s="82"/>
    </row>
    <row r="62" spans="1:8" ht="18.75">
      <c r="A62" s="75"/>
      <c r="B62" s="108"/>
      <c r="C62" s="108"/>
      <c r="D62" s="108"/>
      <c r="E62" s="79"/>
      <c r="F62" s="79"/>
      <c r="G62" s="79"/>
      <c r="H62" s="82"/>
    </row>
    <row r="63" spans="1:8" ht="18.75">
      <c r="A63" s="75"/>
      <c r="B63" s="109"/>
      <c r="C63" s="109"/>
      <c r="D63" s="109"/>
      <c r="E63" s="79"/>
      <c r="F63" s="79"/>
      <c r="G63" s="79"/>
      <c r="H63" s="83"/>
    </row>
    <row r="64" spans="1:8" ht="19.5">
      <c r="A64" s="84"/>
      <c r="B64" s="85"/>
      <c r="C64" s="86"/>
      <c r="D64" s="87"/>
      <c r="E64" s="88"/>
      <c r="F64" s="89"/>
      <c r="G64" s="90"/>
      <c r="H64" s="91"/>
    </row>
    <row r="65" spans="1:8" ht="17.25">
      <c r="A65" s="102"/>
      <c r="B65" s="102"/>
      <c r="C65" s="102"/>
      <c r="D65" s="102"/>
      <c r="E65" s="102"/>
      <c r="F65" s="102"/>
      <c r="G65" s="102"/>
      <c r="H65" s="102"/>
    </row>
    <row r="66" spans="1:8" ht="15.75">
      <c r="A66" s="45"/>
      <c r="B66" s="45"/>
      <c r="C66" s="45"/>
      <c r="D66" s="45"/>
      <c r="E66" s="45"/>
      <c r="F66" s="45"/>
      <c r="G66" s="92"/>
      <c r="H66" s="45"/>
    </row>
    <row r="67" spans="1:8" ht="15.75">
      <c r="A67" s="45"/>
      <c r="B67" s="45"/>
      <c r="C67" s="45"/>
      <c r="D67" s="45"/>
      <c r="E67" s="45"/>
      <c r="F67" s="45"/>
      <c r="G67" s="47"/>
      <c r="H67" s="45"/>
    </row>
    <row r="68" spans="1:8" ht="15.75">
      <c r="A68" s="45"/>
      <c r="B68" s="45"/>
      <c r="C68" s="45"/>
      <c r="D68" s="45"/>
      <c r="E68" s="45"/>
      <c r="F68" s="45"/>
      <c r="G68" s="48"/>
      <c r="H68" s="45"/>
    </row>
    <row r="69" spans="1:8" ht="15.75">
      <c r="A69" s="49"/>
      <c r="C69" s="45"/>
      <c r="D69" s="49"/>
      <c r="F69" s="49"/>
      <c r="G69" s="49"/>
    </row>
    <row r="70" spans="1:8" ht="15.75">
      <c r="A70" s="50"/>
      <c r="C70" s="50"/>
      <c r="D70" s="50"/>
      <c r="F70" s="50"/>
      <c r="G70" s="50"/>
    </row>
    <row r="71" spans="1:8">
      <c r="A71" s="51"/>
      <c r="B71" s="51"/>
      <c r="C71" s="51"/>
      <c r="D71" s="51"/>
      <c r="E71" s="51"/>
      <c r="F71" s="51"/>
      <c r="G71" s="52"/>
      <c r="H71" s="51"/>
    </row>
  </sheetData>
  <mergeCells count="18">
    <mergeCell ref="B63:D63"/>
    <mergeCell ref="A65:H65"/>
    <mergeCell ref="G29:H29"/>
    <mergeCell ref="A53:H53"/>
    <mergeCell ref="B60:D60"/>
    <mergeCell ref="B61:D61"/>
    <mergeCell ref="B62:D62"/>
    <mergeCell ref="G4:H4"/>
    <mergeCell ref="A26:H26"/>
    <mergeCell ref="C27:D27"/>
    <mergeCell ref="G27:H27"/>
    <mergeCell ref="C28:D28"/>
    <mergeCell ref="G28:H28"/>
    <mergeCell ref="A1:H1"/>
    <mergeCell ref="C2:D2"/>
    <mergeCell ref="G2:H2"/>
    <mergeCell ref="C3:D3"/>
    <mergeCell ref="G3:H3"/>
  </mergeCells>
  <printOptions horizontalCentered="1"/>
  <pageMargins left="0" right="0" top="0.196850393700787" bottom="0" header="0" footer="0"/>
  <pageSetup paperSize="9" scale="8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L71"/>
  <sheetViews>
    <sheetView view="pageBreakPreview" zoomScale="85" zoomScaleNormal="70" zoomScaleSheetLayoutView="85" workbookViewId="0">
      <selection activeCell="D10" sqref="D10"/>
    </sheetView>
  </sheetViews>
  <sheetFormatPr defaultColWidth="9" defaultRowHeight="15"/>
  <cols>
    <col min="1" max="1" width="5.7109375" customWidth="1"/>
    <col min="2" max="2" width="31.42578125" customWidth="1"/>
    <col min="3" max="3" width="15.85546875" customWidth="1"/>
    <col min="4" max="4" width="14.140625" customWidth="1"/>
    <col min="5" max="5" width="15.140625" customWidth="1"/>
    <col min="6" max="6" width="14.5703125" customWidth="1"/>
    <col min="7" max="7" width="14.42578125" style="3" customWidth="1"/>
    <col min="8" max="8" width="15.42578125" customWidth="1"/>
    <col min="10" max="10" width="14.85546875" customWidth="1"/>
  </cols>
  <sheetData>
    <row r="1" spans="1:10" s="1" customFormat="1" ht="23.25">
      <c r="A1" s="97" t="s">
        <v>0</v>
      </c>
      <c r="B1" s="97"/>
      <c r="C1" s="97"/>
      <c r="D1" s="97"/>
      <c r="E1" s="97"/>
      <c r="F1" s="97"/>
      <c r="G1" s="97"/>
      <c r="H1" s="97"/>
    </row>
    <row r="2" spans="1:10" s="1" customFormat="1" ht="21">
      <c r="A2" s="4"/>
      <c r="B2" s="5" t="s">
        <v>1</v>
      </c>
      <c r="C2" s="98" t="s">
        <v>2</v>
      </c>
      <c r="D2" s="98"/>
      <c r="E2" s="5" t="s">
        <v>3</v>
      </c>
      <c r="F2" s="5"/>
      <c r="G2" s="99">
        <v>46209</v>
      </c>
      <c r="H2" s="99"/>
    </row>
    <row r="3" spans="1:10" ht="19.5">
      <c r="A3" s="6"/>
      <c r="B3" s="5" t="s">
        <v>4</v>
      </c>
      <c r="C3" s="100" t="s">
        <v>54</v>
      </c>
      <c r="D3" s="100"/>
      <c r="E3" s="5" t="s">
        <v>5</v>
      </c>
      <c r="F3" s="7"/>
      <c r="G3" s="101" t="s">
        <v>55</v>
      </c>
      <c r="H3" s="101"/>
      <c r="J3" s="8"/>
    </row>
    <row r="4" spans="1:10" ht="19.5">
      <c r="A4" s="6"/>
      <c r="B4" s="5" t="s">
        <v>6</v>
      </c>
      <c r="C4" s="9">
        <f>C18</f>
        <v>1487</v>
      </c>
      <c r="D4" s="10" t="s">
        <v>7</v>
      </c>
      <c r="E4" s="5" t="s">
        <v>8</v>
      </c>
      <c r="F4" s="11"/>
      <c r="G4" s="95">
        <v>15469</v>
      </c>
      <c r="H4" s="96"/>
    </row>
    <row r="5" spans="1:10" ht="6.75" customHeight="1">
      <c r="A5" s="6"/>
      <c r="B5" s="6"/>
      <c r="C5" s="6"/>
      <c r="D5" s="6"/>
      <c r="E5" s="6"/>
      <c r="F5" s="6"/>
      <c r="G5" s="12"/>
      <c r="H5" s="6"/>
    </row>
    <row r="6" spans="1:10" ht="39">
      <c r="A6" s="13" t="s">
        <v>9</v>
      </c>
      <c r="B6" s="13" t="s">
        <v>10</v>
      </c>
      <c r="C6" s="14" t="s">
        <v>11</v>
      </c>
      <c r="D6" s="14" t="s">
        <v>12</v>
      </c>
      <c r="E6" s="14" t="s">
        <v>13</v>
      </c>
      <c r="F6" s="14" t="s">
        <v>14</v>
      </c>
      <c r="G6" s="15" t="s">
        <v>15</v>
      </c>
      <c r="H6" s="14" t="s">
        <v>16</v>
      </c>
    </row>
    <row r="7" spans="1:10" s="2" customFormat="1" ht="20.100000000000001" customHeight="1">
      <c r="A7" s="16">
        <v>1</v>
      </c>
      <c r="B7" s="17" t="s">
        <v>40</v>
      </c>
      <c r="C7" s="18">
        <v>1241</v>
      </c>
      <c r="D7" s="19">
        <v>1</v>
      </c>
      <c r="E7" s="20">
        <f>ROUND(C7*D7,0)</f>
        <v>1241</v>
      </c>
      <c r="F7" s="20">
        <v>0</v>
      </c>
      <c r="G7" s="21">
        <v>0</v>
      </c>
      <c r="H7" s="22"/>
      <c r="J7" s="23">
        <f t="shared" ref="J7:J18" si="0">E7+F7+G7</f>
        <v>1241</v>
      </c>
    </row>
    <row r="8" spans="1:10" s="2" customFormat="1" ht="20.100000000000001" customHeight="1">
      <c r="A8" s="16">
        <v>2</v>
      </c>
      <c r="B8" s="17" t="s">
        <v>32</v>
      </c>
      <c r="C8" s="18">
        <v>246</v>
      </c>
      <c r="D8" s="19">
        <v>0.1</v>
      </c>
      <c r="E8" s="20">
        <f>ROUND(C8*D8,0)</f>
        <v>25</v>
      </c>
      <c r="F8" s="20">
        <v>0</v>
      </c>
      <c r="G8" s="21">
        <f>C8-E8</f>
        <v>221</v>
      </c>
      <c r="H8" s="24"/>
      <c r="J8" s="23">
        <f t="shared" si="0"/>
        <v>246</v>
      </c>
    </row>
    <row r="9" spans="1:10" s="2" customFormat="1" ht="20.100000000000001" customHeight="1">
      <c r="A9" s="16">
        <v>3</v>
      </c>
      <c r="B9" s="17"/>
      <c r="C9" s="18"/>
      <c r="D9" s="19"/>
      <c r="E9" s="20">
        <f>ROUND(C9*D9,0)</f>
        <v>0</v>
      </c>
      <c r="F9" s="20">
        <v>0</v>
      </c>
      <c r="G9" s="21">
        <f>C9-E9</f>
        <v>0</v>
      </c>
      <c r="H9" s="24"/>
      <c r="J9" s="23">
        <f t="shared" si="0"/>
        <v>0</v>
      </c>
    </row>
    <row r="10" spans="1:10" s="2" customFormat="1" ht="20.100000000000001" customHeight="1">
      <c r="A10" s="16">
        <v>4</v>
      </c>
      <c r="B10" s="17"/>
      <c r="C10" s="18"/>
      <c r="D10" s="19"/>
      <c r="E10" s="20">
        <f>ROUND(C10*D10,0)</f>
        <v>0</v>
      </c>
      <c r="F10" s="20"/>
      <c r="G10" s="21">
        <f>C10-E10</f>
        <v>0</v>
      </c>
      <c r="H10" s="24"/>
      <c r="J10" s="23">
        <f t="shared" si="0"/>
        <v>0</v>
      </c>
    </row>
    <row r="11" spans="1:10" s="2" customFormat="1" ht="20.100000000000001" customHeight="1">
      <c r="A11" s="16">
        <v>5</v>
      </c>
      <c r="B11" s="17"/>
      <c r="C11" s="18"/>
      <c r="D11" s="19"/>
      <c r="E11" s="20">
        <f t="shared" ref="E11:E17" si="1">ROUND(C11*D11,0)</f>
        <v>0</v>
      </c>
      <c r="F11" s="20">
        <v>0</v>
      </c>
      <c r="G11" s="21">
        <f t="shared" ref="G11:G17" si="2">C11-E11-F11</f>
        <v>0</v>
      </c>
      <c r="H11" s="25"/>
      <c r="J11" s="23">
        <f t="shared" si="0"/>
        <v>0</v>
      </c>
    </row>
    <row r="12" spans="1:10" s="2" customFormat="1" ht="20.100000000000001" customHeight="1">
      <c r="A12" s="16">
        <v>6</v>
      </c>
      <c r="B12" s="17"/>
      <c r="C12" s="18"/>
      <c r="D12" s="26"/>
      <c r="E12" s="20">
        <f t="shared" si="1"/>
        <v>0</v>
      </c>
      <c r="F12" s="20">
        <v>0</v>
      </c>
      <c r="G12" s="21">
        <f t="shared" si="2"/>
        <v>0</v>
      </c>
      <c r="H12" s="27"/>
      <c r="J12" s="23">
        <f t="shared" si="0"/>
        <v>0</v>
      </c>
    </row>
    <row r="13" spans="1:10" s="2" customFormat="1" ht="19.5" customHeight="1">
      <c r="A13" s="16">
        <v>7</v>
      </c>
      <c r="B13" s="17"/>
      <c r="C13" s="28"/>
      <c r="D13" s="29"/>
      <c r="E13" s="20">
        <f t="shared" si="1"/>
        <v>0</v>
      </c>
      <c r="F13" s="20">
        <v>0</v>
      </c>
      <c r="G13" s="21">
        <f t="shared" si="2"/>
        <v>0</v>
      </c>
      <c r="H13" s="30"/>
      <c r="J13" s="23">
        <f t="shared" si="0"/>
        <v>0</v>
      </c>
    </row>
    <row r="14" spans="1:10" s="2" customFormat="1" ht="19.5" customHeight="1">
      <c r="A14" s="16">
        <v>8</v>
      </c>
      <c r="B14" s="17"/>
      <c r="C14" s="28"/>
      <c r="D14" s="29"/>
      <c r="E14" s="20">
        <f t="shared" si="1"/>
        <v>0</v>
      </c>
      <c r="F14" s="20">
        <v>0</v>
      </c>
      <c r="G14" s="21">
        <f t="shared" si="2"/>
        <v>0</v>
      </c>
      <c r="H14" s="30"/>
      <c r="J14" s="23">
        <f t="shared" si="0"/>
        <v>0</v>
      </c>
    </row>
    <row r="15" spans="1:10" s="2" customFormat="1" ht="19.5" customHeight="1">
      <c r="A15" s="16">
        <v>9</v>
      </c>
      <c r="B15" s="31"/>
      <c r="C15" s="32"/>
      <c r="D15" s="33"/>
      <c r="E15" s="20">
        <f t="shared" si="1"/>
        <v>0</v>
      </c>
      <c r="F15" s="20">
        <v>0</v>
      </c>
      <c r="G15" s="21">
        <f t="shared" si="2"/>
        <v>0</v>
      </c>
      <c r="H15" s="30"/>
      <c r="J15" s="23">
        <f t="shared" si="0"/>
        <v>0</v>
      </c>
    </row>
    <row r="16" spans="1:10" s="2" customFormat="1" ht="19.5" customHeight="1">
      <c r="A16" s="16">
        <v>10</v>
      </c>
      <c r="B16" s="34"/>
      <c r="C16" s="35"/>
      <c r="D16" s="33"/>
      <c r="E16" s="20">
        <f t="shared" si="1"/>
        <v>0</v>
      </c>
      <c r="F16" s="20">
        <v>0</v>
      </c>
      <c r="G16" s="21">
        <f t="shared" si="2"/>
        <v>0</v>
      </c>
      <c r="H16" s="30"/>
      <c r="J16" s="23">
        <f t="shared" si="0"/>
        <v>0</v>
      </c>
    </row>
    <row r="17" spans="1:12" s="2" customFormat="1" ht="19.5" customHeight="1">
      <c r="A17" s="16">
        <v>11</v>
      </c>
      <c r="B17" s="34"/>
      <c r="C17" s="35"/>
      <c r="D17" s="33"/>
      <c r="E17" s="20">
        <f t="shared" si="1"/>
        <v>0</v>
      </c>
      <c r="F17" s="20">
        <v>0</v>
      </c>
      <c r="G17" s="21">
        <f t="shared" si="2"/>
        <v>0</v>
      </c>
      <c r="H17" s="30"/>
      <c r="J17" s="23">
        <f t="shared" si="0"/>
        <v>0</v>
      </c>
    </row>
    <row r="18" spans="1:12" ht="19.5">
      <c r="A18" s="13"/>
      <c r="B18" s="36" t="s">
        <v>17</v>
      </c>
      <c r="C18" s="37">
        <f>SUM(C7:C17)</f>
        <v>1487</v>
      </c>
      <c r="D18" s="38"/>
      <c r="E18" s="39">
        <f>SUM(E7:E17)</f>
        <v>1266</v>
      </c>
      <c r="F18" s="40">
        <f t="shared" ref="F18:G18" si="3">SUM(F7:F17)</f>
        <v>0</v>
      </c>
      <c r="G18" s="41">
        <f t="shared" si="3"/>
        <v>221</v>
      </c>
      <c r="H18" s="42"/>
      <c r="J18" s="43">
        <f t="shared" si="0"/>
        <v>1487</v>
      </c>
      <c r="L18" s="8" t="s">
        <v>18</v>
      </c>
    </row>
    <row r="19" spans="1:12" ht="9" customHeight="1">
      <c r="A19" s="44"/>
      <c r="B19" s="44"/>
      <c r="C19" s="44"/>
      <c r="D19" s="44"/>
      <c r="E19" s="44"/>
      <c r="F19" s="44"/>
      <c r="G19" s="44"/>
      <c r="H19" s="44"/>
    </row>
    <row r="20" spans="1:12" ht="15.75">
      <c r="A20" s="45" t="s">
        <v>19</v>
      </c>
      <c r="B20" s="45"/>
      <c r="C20" s="45"/>
      <c r="D20" s="45" t="s">
        <v>20</v>
      </c>
      <c r="E20" s="45"/>
      <c r="F20" s="45"/>
      <c r="G20" s="46"/>
      <c r="H20" s="45"/>
    </row>
    <row r="21" spans="1:12" ht="15.75">
      <c r="A21" s="45"/>
      <c r="B21" s="45"/>
      <c r="C21" s="45"/>
      <c r="D21" s="45"/>
      <c r="E21" s="45"/>
      <c r="F21" s="45"/>
      <c r="G21" s="47"/>
      <c r="H21" s="45"/>
    </row>
    <row r="22" spans="1:12" ht="15.75">
      <c r="A22" s="45"/>
      <c r="B22" s="45"/>
      <c r="C22" s="45"/>
      <c r="D22" s="45"/>
      <c r="E22" s="45"/>
      <c r="F22" s="45"/>
      <c r="G22" s="48"/>
      <c r="H22" s="45"/>
    </row>
    <row r="23" spans="1:12" ht="15.75">
      <c r="A23" s="49" t="s">
        <v>37</v>
      </c>
      <c r="C23" s="45"/>
      <c r="D23" s="49" t="s">
        <v>21</v>
      </c>
      <c r="F23" s="49"/>
      <c r="G23" s="49"/>
    </row>
    <row r="24" spans="1:12" ht="15.75">
      <c r="A24" s="50" t="s">
        <v>35</v>
      </c>
      <c r="C24" s="50"/>
      <c r="D24" s="50" t="s">
        <v>42</v>
      </c>
      <c r="F24" s="50"/>
      <c r="G24" s="50"/>
    </row>
    <row r="25" spans="1:12">
      <c r="A25" s="51"/>
      <c r="B25" s="51"/>
      <c r="C25" s="51"/>
      <c r="D25" s="51"/>
      <c r="E25" s="51"/>
      <c r="F25" s="51"/>
      <c r="G25" s="52"/>
      <c r="H25" s="51"/>
    </row>
    <row r="26" spans="1:12" s="1" customFormat="1" ht="23.25" hidden="1">
      <c r="A26" s="97" t="s">
        <v>0</v>
      </c>
      <c r="B26" s="97"/>
      <c r="C26" s="97"/>
      <c r="D26" s="97"/>
      <c r="E26" s="97"/>
      <c r="F26" s="97"/>
      <c r="G26" s="97"/>
      <c r="H26" s="97"/>
    </row>
    <row r="27" spans="1:12" s="1" customFormat="1" ht="21" hidden="1">
      <c r="A27" s="4"/>
      <c r="B27" s="5" t="s">
        <v>1</v>
      </c>
      <c r="C27" s="98" t="str">
        <f>C2</f>
        <v>ASTEC LTI</v>
      </c>
      <c r="D27" s="98"/>
      <c r="E27" s="5" t="s">
        <v>3</v>
      </c>
      <c r="F27" s="5"/>
      <c r="G27" s="103">
        <f>G2</f>
        <v>46209</v>
      </c>
      <c r="H27" s="103"/>
    </row>
    <row r="28" spans="1:12" ht="19.5" hidden="1">
      <c r="A28" s="6"/>
      <c r="B28" s="5" t="s">
        <v>4</v>
      </c>
      <c r="C28" s="100" t="str">
        <f>C3</f>
        <v>M-R4A-2026-07-629229</v>
      </c>
      <c r="D28" s="104"/>
      <c r="E28" s="5" t="s">
        <v>5</v>
      </c>
      <c r="F28" s="7"/>
      <c r="G28" s="101"/>
      <c r="H28" s="101"/>
    </row>
    <row r="29" spans="1:12" ht="19.5" hidden="1">
      <c r="A29" s="6"/>
      <c r="B29" s="5" t="s">
        <v>6</v>
      </c>
      <c r="C29" s="9">
        <f>C4</f>
        <v>1487</v>
      </c>
      <c r="D29" s="10" t="s">
        <v>7</v>
      </c>
      <c r="E29" s="5" t="s">
        <v>8</v>
      </c>
      <c r="F29" s="11"/>
      <c r="G29" s="101"/>
      <c r="H29" s="101"/>
    </row>
    <row r="30" spans="1:12" ht="19.5" hidden="1">
      <c r="A30" s="6"/>
      <c r="B30" s="6"/>
      <c r="C30" s="6"/>
      <c r="D30" s="6"/>
      <c r="E30" s="6"/>
      <c r="F30" s="6"/>
      <c r="G30" s="12"/>
      <c r="H30" s="6"/>
    </row>
    <row r="31" spans="1:12" ht="39" hidden="1">
      <c r="A31" s="13" t="s">
        <v>9</v>
      </c>
      <c r="B31" s="13" t="s">
        <v>10</v>
      </c>
      <c r="C31" s="14" t="s">
        <v>11</v>
      </c>
      <c r="D31" s="14" t="s">
        <v>12</v>
      </c>
      <c r="E31" s="14" t="s">
        <v>13</v>
      </c>
      <c r="F31" s="14" t="s">
        <v>14</v>
      </c>
      <c r="G31" s="15" t="s">
        <v>15</v>
      </c>
      <c r="H31" s="14" t="s">
        <v>16</v>
      </c>
    </row>
    <row r="32" spans="1:12" s="2" customFormat="1" ht="20.100000000000001" hidden="1" customHeight="1">
      <c r="A32" s="53">
        <v>1</v>
      </c>
      <c r="B32" s="54" t="s">
        <v>22</v>
      </c>
      <c r="C32" s="55">
        <v>566</v>
      </c>
      <c r="D32" s="56">
        <v>1</v>
      </c>
      <c r="E32" s="57">
        <v>0</v>
      </c>
      <c r="F32" s="57">
        <f>C32*D32</f>
        <v>566</v>
      </c>
      <c r="G32" s="57">
        <f>C32-E32-F32</f>
        <v>0</v>
      </c>
      <c r="H32" s="58"/>
    </row>
    <row r="33" spans="1:8" s="2" customFormat="1" ht="20.100000000000001" hidden="1" customHeight="1">
      <c r="A33" s="53">
        <v>2</v>
      </c>
      <c r="B33" s="54"/>
      <c r="C33" s="55"/>
      <c r="D33" s="59"/>
      <c r="E33" s="57"/>
      <c r="F33" s="57"/>
      <c r="G33" s="57"/>
      <c r="H33" s="60"/>
    </row>
    <row r="34" spans="1:8" s="2" customFormat="1" ht="20.100000000000001" hidden="1" customHeight="1">
      <c r="A34" s="53">
        <v>3</v>
      </c>
      <c r="B34" s="61"/>
      <c r="C34" s="55"/>
      <c r="D34" s="62"/>
      <c r="E34" s="63"/>
      <c r="F34" s="63"/>
      <c r="G34" s="63"/>
      <c r="H34" s="60"/>
    </row>
    <row r="35" spans="1:8" s="2" customFormat="1" ht="20.100000000000001" hidden="1" customHeight="1">
      <c r="A35" s="53">
        <v>4</v>
      </c>
      <c r="B35" s="54"/>
      <c r="C35" s="64"/>
      <c r="D35" s="62"/>
      <c r="E35" s="63"/>
      <c r="F35" s="63"/>
      <c r="G35" s="63"/>
      <c r="H35" s="60"/>
    </row>
    <row r="36" spans="1:8" s="2" customFormat="1" ht="20.100000000000001" hidden="1" customHeight="1">
      <c r="A36" s="53">
        <v>5</v>
      </c>
      <c r="B36" s="54"/>
      <c r="C36" s="64"/>
      <c r="D36" s="62"/>
      <c r="E36" s="63"/>
      <c r="F36" s="63"/>
      <c r="G36" s="63"/>
      <c r="H36" s="60"/>
    </row>
    <row r="37" spans="1:8" s="2" customFormat="1" ht="20.100000000000001" hidden="1" customHeight="1">
      <c r="A37" s="53">
        <v>6</v>
      </c>
      <c r="B37" s="65"/>
      <c r="C37" s="66"/>
      <c r="D37" s="67"/>
      <c r="E37" s="63"/>
      <c r="F37" s="63"/>
      <c r="G37" s="63"/>
      <c r="H37" s="60"/>
    </row>
    <row r="38" spans="1:8" s="2" customFormat="1" ht="20.100000000000001" hidden="1" customHeight="1">
      <c r="A38" s="53">
        <v>7</v>
      </c>
      <c r="B38" s="68"/>
      <c r="C38" s="66"/>
      <c r="D38" s="67"/>
      <c r="E38" s="63"/>
      <c r="F38" s="63"/>
      <c r="G38" s="63"/>
      <c r="H38" s="60"/>
    </row>
    <row r="39" spans="1:8" s="2" customFormat="1" ht="20.100000000000001" hidden="1" customHeight="1">
      <c r="A39" s="53">
        <v>8</v>
      </c>
      <c r="B39" s="65"/>
      <c r="C39" s="66"/>
      <c r="D39" s="67"/>
      <c r="E39" s="63"/>
      <c r="F39" s="63"/>
      <c r="G39" s="63"/>
      <c r="H39" s="60"/>
    </row>
    <row r="40" spans="1:8" s="2" customFormat="1" ht="20.100000000000001" hidden="1" customHeight="1">
      <c r="A40" s="53">
        <v>9</v>
      </c>
      <c r="B40" s="65"/>
      <c r="C40" s="66"/>
      <c r="D40" s="67"/>
      <c r="E40" s="63"/>
      <c r="F40" s="63"/>
      <c r="G40" s="63"/>
      <c r="H40" s="60"/>
    </row>
    <row r="41" spans="1:8" s="2" customFormat="1" ht="20.100000000000001" hidden="1" customHeight="1">
      <c r="A41" s="53">
        <v>10</v>
      </c>
      <c r="B41" s="65"/>
      <c r="C41" s="66"/>
      <c r="D41" s="67"/>
      <c r="E41" s="63"/>
      <c r="F41" s="63"/>
      <c r="G41" s="63"/>
      <c r="H41" s="69"/>
    </row>
    <row r="42" spans="1:8" ht="19.5" hidden="1">
      <c r="A42" s="13"/>
      <c r="B42" s="36" t="s">
        <v>17</v>
      </c>
      <c r="C42" s="37">
        <f t="shared" ref="C42:G42" si="4">SUM(C32:C41)</f>
        <v>566</v>
      </c>
      <c r="D42" s="38"/>
      <c r="E42" s="39">
        <f t="shared" si="4"/>
        <v>0</v>
      </c>
      <c r="F42" s="40">
        <f t="shared" si="4"/>
        <v>566</v>
      </c>
      <c r="G42" s="41">
        <f t="shared" si="4"/>
        <v>0</v>
      </c>
      <c r="H42" s="42"/>
    </row>
    <row r="43" spans="1:8" hidden="1"/>
    <row r="44" spans="1:8" ht="15.75" hidden="1">
      <c r="A44" s="45" t="s">
        <v>19</v>
      </c>
      <c r="B44" s="45"/>
      <c r="C44" s="45"/>
      <c r="D44" s="70" t="s">
        <v>23</v>
      </c>
      <c r="E44" s="45"/>
      <c r="F44" s="45"/>
      <c r="G44" s="46" t="s">
        <v>24</v>
      </c>
      <c r="H44" s="45"/>
    </row>
    <row r="45" spans="1:8" ht="15.75" hidden="1">
      <c r="A45" s="45"/>
      <c r="B45" s="45"/>
      <c r="C45" s="45"/>
      <c r="D45" s="71"/>
      <c r="E45" s="45"/>
      <c r="F45" s="45"/>
      <c r="G45" s="47"/>
      <c r="H45" s="45"/>
    </row>
    <row r="46" spans="1:8" ht="15.75" hidden="1">
      <c r="A46" s="45"/>
      <c r="B46" s="45"/>
      <c r="C46" s="45"/>
      <c r="D46" s="45"/>
      <c r="E46" s="45"/>
      <c r="F46" s="45"/>
      <c r="G46" s="48"/>
      <c r="H46" s="45"/>
    </row>
    <row r="47" spans="1:8" ht="15.75" hidden="1">
      <c r="A47" s="72" t="str">
        <f>A23</f>
        <v>PRINCE JOHN JOHAN ARAGON</v>
      </c>
      <c r="C47" s="45"/>
      <c r="D47" s="49" t="s">
        <v>21</v>
      </c>
      <c r="F47" s="49"/>
      <c r="G47" s="49" t="s">
        <v>25</v>
      </c>
    </row>
    <row r="48" spans="1:8" ht="15.75" hidden="1">
      <c r="A48" s="73" t="str">
        <f>A24</f>
        <v>Documentation Staff</v>
      </c>
      <c r="C48" s="50"/>
      <c r="D48" s="50" t="s">
        <v>26</v>
      </c>
      <c r="F48" s="50"/>
      <c r="G48" s="50" t="s">
        <v>27</v>
      </c>
    </row>
    <row r="49" spans="1:8" ht="15.75" hidden="1">
      <c r="A49" s="45"/>
      <c r="B49" s="45"/>
      <c r="C49" s="45"/>
      <c r="D49" s="45"/>
      <c r="E49" s="45"/>
      <c r="F49" s="45"/>
      <c r="G49" s="48"/>
      <c r="H49" s="45"/>
    </row>
    <row r="50" spans="1:8" hidden="1"/>
    <row r="51" spans="1:8" hidden="1">
      <c r="G51" s="74"/>
    </row>
    <row r="52" spans="1:8" hidden="1">
      <c r="G52" s="74"/>
    </row>
    <row r="53" spans="1:8" ht="23.25">
      <c r="A53" s="105"/>
      <c r="B53" s="105"/>
      <c r="C53" s="105"/>
      <c r="D53" s="105"/>
      <c r="E53" s="105"/>
      <c r="F53" s="105"/>
      <c r="G53" s="105"/>
      <c r="H53" s="105"/>
    </row>
    <row r="54" spans="1:8" ht="18.75">
      <c r="A54" s="75"/>
      <c r="B54" s="76"/>
      <c r="C54" s="77"/>
      <c r="D54" s="78"/>
      <c r="E54" s="79"/>
      <c r="F54" s="79"/>
      <c r="G54" s="79"/>
      <c r="H54" s="80"/>
    </row>
    <row r="55" spans="1:8" ht="18.75">
      <c r="A55" s="75"/>
      <c r="B55" s="76"/>
      <c r="C55" s="77"/>
      <c r="D55" s="78"/>
      <c r="E55" s="79"/>
      <c r="F55" s="79"/>
      <c r="G55" s="79"/>
      <c r="H55" s="80"/>
    </row>
    <row r="56" spans="1:8" ht="18.75">
      <c r="A56" s="75"/>
      <c r="B56" s="76"/>
      <c r="C56" s="77"/>
      <c r="D56" s="78"/>
      <c r="E56" s="79"/>
      <c r="F56" s="79"/>
      <c r="G56" s="79"/>
      <c r="H56" s="80"/>
    </row>
    <row r="57" spans="1:8" ht="18.75">
      <c r="A57" s="75"/>
      <c r="B57" s="76"/>
      <c r="C57" s="77"/>
      <c r="D57" s="78"/>
      <c r="E57" s="79"/>
      <c r="F57" s="79"/>
      <c r="G57" s="79"/>
      <c r="H57" s="80"/>
    </row>
    <row r="58" spans="1:8" ht="18.75">
      <c r="A58" s="75"/>
      <c r="B58" s="76"/>
      <c r="C58" s="77"/>
      <c r="D58" s="78"/>
      <c r="E58" s="79"/>
      <c r="F58" s="79"/>
      <c r="G58" s="79"/>
      <c r="H58" s="80"/>
    </row>
    <row r="59" spans="1:8" ht="18.75">
      <c r="A59" s="75"/>
      <c r="B59" s="81"/>
      <c r="C59" s="77"/>
      <c r="D59" s="78"/>
      <c r="E59" s="79"/>
      <c r="F59" s="79"/>
      <c r="G59" s="79"/>
      <c r="H59" s="82"/>
    </row>
    <row r="60" spans="1:8" ht="18.75">
      <c r="A60" s="75"/>
      <c r="B60" s="106"/>
      <c r="C60" s="106"/>
      <c r="D60" s="106"/>
      <c r="E60" s="79"/>
      <c r="F60" s="79"/>
      <c r="G60" s="79"/>
      <c r="H60" s="82"/>
    </row>
    <row r="61" spans="1:8" ht="18.75">
      <c r="A61" s="75"/>
      <c r="B61" s="107"/>
      <c r="C61" s="107"/>
      <c r="D61" s="107"/>
      <c r="E61" s="79"/>
      <c r="F61" s="79"/>
      <c r="G61" s="79"/>
      <c r="H61" s="82"/>
    </row>
    <row r="62" spans="1:8" ht="18.75">
      <c r="A62" s="75"/>
      <c r="B62" s="108"/>
      <c r="C62" s="108"/>
      <c r="D62" s="108"/>
      <c r="E62" s="79"/>
      <c r="F62" s="79"/>
      <c r="G62" s="79"/>
      <c r="H62" s="82"/>
    </row>
    <row r="63" spans="1:8" ht="18.75">
      <c r="A63" s="75"/>
      <c r="B63" s="109"/>
      <c r="C63" s="109"/>
      <c r="D63" s="109"/>
      <c r="E63" s="79"/>
      <c r="F63" s="79"/>
      <c r="G63" s="79"/>
      <c r="H63" s="83"/>
    </row>
    <row r="64" spans="1:8" ht="19.5">
      <c r="A64" s="84"/>
      <c r="B64" s="85"/>
      <c r="C64" s="86"/>
      <c r="D64" s="87"/>
      <c r="E64" s="88"/>
      <c r="F64" s="89"/>
      <c r="G64" s="90"/>
      <c r="H64" s="91"/>
    </row>
    <row r="65" spans="1:8" ht="17.25">
      <c r="A65" s="102"/>
      <c r="B65" s="102"/>
      <c r="C65" s="102"/>
      <c r="D65" s="102"/>
      <c r="E65" s="102"/>
      <c r="F65" s="102"/>
      <c r="G65" s="102"/>
      <c r="H65" s="102"/>
    </row>
    <row r="66" spans="1:8" ht="15.75">
      <c r="A66" s="45"/>
      <c r="B66" s="45"/>
      <c r="C66" s="45"/>
      <c r="D66" s="45"/>
      <c r="E66" s="45"/>
      <c r="F66" s="45"/>
      <c r="G66" s="92"/>
      <c r="H66" s="45"/>
    </row>
    <row r="67" spans="1:8" ht="15.75">
      <c r="A67" s="45"/>
      <c r="B67" s="45"/>
      <c r="C67" s="45"/>
      <c r="D67" s="45"/>
      <c r="E67" s="45"/>
      <c r="F67" s="45"/>
      <c r="G67" s="47"/>
      <c r="H67" s="45"/>
    </row>
    <row r="68" spans="1:8" ht="15.75">
      <c r="A68" s="45"/>
      <c r="B68" s="45"/>
      <c r="C68" s="45"/>
      <c r="D68" s="45"/>
      <c r="E68" s="45"/>
      <c r="F68" s="45"/>
      <c r="G68" s="48"/>
      <c r="H68" s="45"/>
    </row>
    <row r="69" spans="1:8" ht="15.75">
      <c r="A69" s="49"/>
      <c r="C69" s="45"/>
      <c r="D69" s="49"/>
      <c r="F69" s="49"/>
      <c r="G69" s="49"/>
    </row>
    <row r="70" spans="1:8" ht="15.75">
      <c r="A70" s="50"/>
      <c r="C70" s="50"/>
      <c r="D70" s="50"/>
      <c r="F70" s="50"/>
      <c r="G70" s="50"/>
    </row>
    <row r="71" spans="1:8">
      <c r="A71" s="51"/>
      <c r="B71" s="51"/>
      <c r="C71" s="51"/>
      <c r="D71" s="51"/>
      <c r="E71" s="51"/>
      <c r="F71" s="51"/>
      <c r="G71" s="52"/>
      <c r="H71" s="51"/>
    </row>
  </sheetData>
  <mergeCells count="18">
    <mergeCell ref="B63:D63"/>
    <mergeCell ref="A65:H65"/>
    <mergeCell ref="G29:H29"/>
    <mergeCell ref="A53:H53"/>
    <mergeCell ref="B60:D60"/>
    <mergeCell ref="B61:D61"/>
    <mergeCell ref="B62:D62"/>
    <mergeCell ref="G4:H4"/>
    <mergeCell ref="A26:H26"/>
    <mergeCell ref="C27:D27"/>
    <mergeCell ref="G27:H27"/>
    <mergeCell ref="C28:D28"/>
    <mergeCell ref="G28:H28"/>
    <mergeCell ref="A1:H1"/>
    <mergeCell ref="C2:D2"/>
    <mergeCell ref="G2:H2"/>
    <mergeCell ref="C3:D3"/>
    <mergeCell ref="G3:H3"/>
  </mergeCells>
  <printOptions horizontalCentered="1"/>
  <pageMargins left="0" right="0" top="0.196850393700787" bottom="0" header="0" footer="0"/>
  <pageSetup paperSize="9" scale="8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L71"/>
  <sheetViews>
    <sheetView view="pageBreakPreview" zoomScale="70" zoomScaleNormal="70" zoomScaleSheetLayoutView="70" workbookViewId="0">
      <selection activeCell="I55" sqref="I55"/>
    </sheetView>
  </sheetViews>
  <sheetFormatPr defaultColWidth="9" defaultRowHeight="15"/>
  <cols>
    <col min="1" max="1" width="5.7109375" customWidth="1"/>
    <col min="2" max="2" width="31.42578125" customWidth="1"/>
    <col min="3" max="3" width="15.85546875" customWidth="1"/>
    <col min="4" max="4" width="14.140625" customWidth="1"/>
    <col min="5" max="5" width="15.140625" customWidth="1"/>
    <col min="6" max="6" width="14.5703125" customWidth="1"/>
    <col min="7" max="7" width="14.42578125" style="3" customWidth="1"/>
    <col min="8" max="8" width="15.42578125" customWidth="1"/>
    <col min="10" max="10" width="14.85546875" customWidth="1"/>
  </cols>
  <sheetData>
    <row r="1" spans="1:10" s="1" customFormat="1" ht="23.25">
      <c r="A1" s="97" t="s">
        <v>0</v>
      </c>
      <c r="B1" s="97"/>
      <c r="C1" s="97"/>
      <c r="D1" s="97"/>
      <c r="E1" s="97"/>
      <c r="F1" s="97"/>
      <c r="G1" s="97"/>
      <c r="H1" s="97"/>
    </row>
    <row r="2" spans="1:10" s="1" customFormat="1" ht="21">
      <c r="A2" s="4"/>
      <c r="B2" s="5" t="s">
        <v>1</v>
      </c>
      <c r="C2" s="98" t="s">
        <v>2</v>
      </c>
      <c r="D2" s="98"/>
      <c r="E2" s="5" t="s">
        <v>3</v>
      </c>
      <c r="F2" s="5"/>
      <c r="G2" s="99">
        <v>46209</v>
      </c>
      <c r="H2" s="99"/>
    </row>
    <row r="3" spans="1:10" ht="19.5">
      <c r="A3" s="6"/>
      <c r="B3" s="5" t="s">
        <v>4</v>
      </c>
      <c r="C3" s="100" t="s">
        <v>56</v>
      </c>
      <c r="D3" s="100"/>
      <c r="E3" s="5" t="s">
        <v>5</v>
      </c>
      <c r="F3" s="7"/>
      <c r="G3" s="101" t="s">
        <v>30</v>
      </c>
      <c r="H3" s="101"/>
      <c r="J3" s="8"/>
    </row>
    <row r="4" spans="1:10" ht="19.5">
      <c r="A4" s="6"/>
      <c r="B4" s="5" t="s">
        <v>6</v>
      </c>
      <c r="C4" s="9">
        <f>C18</f>
        <v>507</v>
      </c>
      <c r="D4" s="10" t="s">
        <v>7</v>
      </c>
      <c r="E4" s="5" t="s">
        <v>8</v>
      </c>
      <c r="F4" s="11"/>
      <c r="G4" s="95">
        <v>15469</v>
      </c>
      <c r="H4" s="96"/>
    </row>
    <row r="5" spans="1:10" ht="6.75" customHeight="1">
      <c r="A5" s="6"/>
      <c r="B5" s="6"/>
      <c r="C5" s="6"/>
      <c r="D5" s="6"/>
      <c r="E5" s="6"/>
      <c r="F5" s="6"/>
      <c r="G5" s="12"/>
      <c r="H5" s="6"/>
    </row>
    <row r="6" spans="1:10" ht="39">
      <c r="A6" s="13" t="s">
        <v>9</v>
      </c>
      <c r="B6" s="13" t="s">
        <v>10</v>
      </c>
      <c r="C6" s="14" t="s">
        <v>11</v>
      </c>
      <c r="D6" s="14" t="s">
        <v>12</v>
      </c>
      <c r="E6" s="14" t="s">
        <v>13</v>
      </c>
      <c r="F6" s="14" t="s">
        <v>14</v>
      </c>
      <c r="G6" s="15" t="s">
        <v>15</v>
      </c>
      <c r="H6" s="14" t="s">
        <v>16</v>
      </c>
    </row>
    <row r="7" spans="1:10" s="2" customFormat="1" ht="20.100000000000001" customHeight="1">
      <c r="A7" s="16">
        <v>1</v>
      </c>
      <c r="B7" s="17" t="s">
        <v>41</v>
      </c>
      <c r="C7" s="18">
        <v>507</v>
      </c>
      <c r="D7" s="19">
        <v>1</v>
      </c>
      <c r="E7" s="20">
        <f>C7*D7</f>
        <v>507</v>
      </c>
      <c r="F7" s="20">
        <v>0</v>
      </c>
      <c r="G7" s="21">
        <v>0</v>
      </c>
      <c r="H7" s="22"/>
      <c r="J7" s="23">
        <f t="shared" ref="J7:J18" si="0">E7+F7+G7</f>
        <v>507</v>
      </c>
    </row>
    <row r="8" spans="1:10" s="2" customFormat="1" ht="20.100000000000001" customHeight="1">
      <c r="A8" s="16">
        <v>2</v>
      </c>
      <c r="B8" s="17"/>
      <c r="C8" s="18"/>
      <c r="D8" s="19"/>
      <c r="E8" s="20">
        <v>0</v>
      </c>
      <c r="F8" s="20">
        <v>0</v>
      </c>
      <c r="G8" s="21">
        <f t="shared" ref="G8:G9" si="1">C8*D8</f>
        <v>0</v>
      </c>
      <c r="H8" s="24"/>
      <c r="J8" s="23">
        <f t="shared" si="0"/>
        <v>0</v>
      </c>
    </row>
    <row r="9" spans="1:10" s="2" customFormat="1" ht="20.100000000000001" customHeight="1">
      <c r="A9" s="16">
        <v>3</v>
      </c>
      <c r="B9" s="17"/>
      <c r="C9" s="18"/>
      <c r="D9" s="19"/>
      <c r="E9" s="20">
        <v>0</v>
      </c>
      <c r="F9" s="20">
        <v>0</v>
      </c>
      <c r="G9" s="21">
        <f t="shared" si="1"/>
        <v>0</v>
      </c>
      <c r="H9" s="24"/>
      <c r="J9" s="23">
        <f t="shared" si="0"/>
        <v>0</v>
      </c>
    </row>
    <row r="10" spans="1:10" s="2" customFormat="1" ht="20.100000000000001" customHeight="1">
      <c r="A10" s="16">
        <v>4</v>
      </c>
      <c r="B10" s="17"/>
      <c r="C10" s="18"/>
      <c r="D10" s="19"/>
      <c r="E10" s="20">
        <f t="shared" ref="E10:E17" si="2">ROUND(C10*D10,0)</f>
        <v>0</v>
      </c>
      <c r="F10" s="20">
        <v>0</v>
      </c>
      <c r="G10" s="21">
        <f t="shared" ref="G10:G17" si="3">C10-E10-F10</f>
        <v>0</v>
      </c>
      <c r="H10" s="24"/>
      <c r="J10" s="23">
        <f t="shared" si="0"/>
        <v>0</v>
      </c>
    </row>
    <row r="11" spans="1:10" s="2" customFormat="1" ht="20.100000000000001" customHeight="1">
      <c r="A11" s="16">
        <v>5</v>
      </c>
      <c r="B11" s="17"/>
      <c r="C11" s="18"/>
      <c r="D11" s="19"/>
      <c r="E11" s="20">
        <f t="shared" si="2"/>
        <v>0</v>
      </c>
      <c r="F11" s="20">
        <v>0</v>
      </c>
      <c r="G11" s="21">
        <f t="shared" si="3"/>
        <v>0</v>
      </c>
      <c r="H11" s="25"/>
      <c r="J11" s="23">
        <f t="shared" si="0"/>
        <v>0</v>
      </c>
    </row>
    <row r="12" spans="1:10" s="2" customFormat="1" ht="20.100000000000001" customHeight="1">
      <c r="A12" s="16">
        <v>6</v>
      </c>
      <c r="B12" s="17"/>
      <c r="C12" s="18"/>
      <c r="D12" s="26"/>
      <c r="E12" s="20">
        <f t="shared" si="2"/>
        <v>0</v>
      </c>
      <c r="F12" s="20">
        <v>0</v>
      </c>
      <c r="G12" s="21">
        <f t="shared" si="3"/>
        <v>0</v>
      </c>
      <c r="H12" s="27"/>
      <c r="J12" s="23">
        <f t="shared" si="0"/>
        <v>0</v>
      </c>
    </row>
    <row r="13" spans="1:10" s="2" customFormat="1" ht="19.5" customHeight="1">
      <c r="A13" s="16">
        <v>7</v>
      </c>
      <c r="B13" s="17"/>
      <c r="C13" s="28"/>
      <c r="D13" s="29"/>
      <c r="E13" s="20">
        <f t="shared" si="2"/>
        <v>0</v>
      </c>
      <c r="F13" s="20">
        <v>0</v>
      </c>
      <c r="G13" s="21">
        <f t="shared" si="3"/>
        <v>0</v>
      </c>
      <c r="H13" s="30"/>
      <c r="J13" s="23">
        <f t="shared" si="0"/>
        <v>0</v>
      </c>
    </row>
    <row r="14" spans="1:10" s="2" customFormat="1" ht="19.5" customHeight="1">
      <c r="A14" s="16">
        <v>8</v>
      </c>
      <c r="B14" s="17"/>
      <c r="C14" s="28"/>
      <c r="D14" s="29"/>
      <c r="E14" s="20">
        <f t="shared" si="2"/>
        <v>0</v>
      </c>
      <c r="F14" s="20">
        <v>0</v>
      </c>
      <c r="G14" s="21">
        <f t="shared" si="3"/>
        <v>0</v>
      </c>
      <c r="H14" s="30"/>
      <c r="J14" s="23">
        <f t="shared" si="0"/>
        <v>0</v>
      </c>
    </row>
    <row r="15" spans="1:10" s="2" customFormat="1" ht="19.5" customHeight="1">
      <c r="A15" s="16">
        <v>9</v>
      </c>
      <c r="B15" s="31"/>
      <c r="C15" s="32"/>
      <c r="D15" s="33"/>
      <c r="E15" s="20">
        <f t="shared" si="2"/>
        <v>0</v>
      </c>
      <c r="F15" s="20">
        <v>0</v>
      </c>
      <c r="G15" s="21">
        <f t="shared" si="3"/>
        <v>0</v>
      </c>
      <c r="H15" s="30"/>
      <c r="J15" s="23">
        <f t="shared" si="0"/>
        <v>0</v>
      </c>
    </row>
    <row r="16" spans="1:10" s="2" customFormat="1" ht="19.5" customHeight="1">
      <c r="A16" s="16">
        <v>10</v>
      </c>
      <c r="B16" s="34"/>
      <c r="C16" s="35"/>
      <c r="D16" s="33"/>
      <c r="E16" s="20">
        <f t="shared" si="2"/>
        <v>0</v>
      </c>
      <c r="F16" s="20">
        <v>0</v>
      </c>
      <c r="G16" s="21">
        <f t="shared" si="3"/>
        <v>0</v>
      </c>
      <c r="H16" s="30"/>
      <c r="J16" s="23">
        <f t="shared" si="0"/>
        <v>0</v>
      </c>
    </row>
    <row r="17" spans="1:12" s="2" customFormat="1" ht="19.5" customHeight="1">
      <c r="A17" s="16">
        <v>11</v>
      </c>
      <c r="B17" s="34"/>
      <c r="C17" s="35"/>
      <c r="D17" s="33"/>
      <c r="E17" s="20">
        <f t="shared" si="2"/>
        <v>0</v>
      </c>
      <c r="F17" s="20">
        <v>0</v>
      </c>
      <c r="G17" s="21">
        <f t="shared" si="3"/>
        <v>0</v>
      </c>
      <c r="H17" s="30"/>
      <c r="J17" s="23">
        <f t="shared" si="0"/>
        <v>0</v>
      </c>
    </row>
    <row r="18" spans="1:12" ht="19.5">
      <c r="A18" s="13"/>
      <c r="B18" s="36" t="s">
        <v>17</v>
      </c>
      <c r="C18" s="37">
        <f>SUM(C7:C17)</f>
        <v>507</v>
      </c>
      <c r="D18" s="37"/>
      <c r="E18" s="37">
        <f>SUM(E7:E17)</f>
        <v>507</v>
      </c>
      <c r="F18" s="37">
        <f>SUM(F7:F9)</f>
        <v>0</v>
      </c>
      <c r="G18" s="37">
        <f>SUM(G7:G9)</f>
        <v>0</v>
      </c>
      <c r="H18" s="42"/>
      <c r="J18" s="43">
        <f t="shared" si="0"/>
        <v>507</v>
      </c>
      <c r="L18" s="8" t="s">
        <v>18</v>
      </c>
    </row>
    <row r="19" spans="1:12" ht="9" customHeight="1">
      <c r="A19" s="44"/>
      <c r="B19" s="44"/>
      <c r="C19" s="44"/>
      <c r="D19" s="44"/>
      <c r="E19" s="44"/>
      <c r="F19" s="44"/>
      <c r="G19" s="44"/>
      <c r="H19" s="44"/>
    </row>
    <row r="20" spans="1:12" ht="15.75">
      <c r="A20" s="45" t="s">
        <v>19</v>
      </c>
      <c r="B20" s="45"/>
      <c r="C20" s="45"/>
      <c r="D20" s="45" t="s">
        <v>20</v>
      </c>
      <c r="E20" s="45"/>
      <c r="F20" s="45"/>
      <c r="G20" s="46"/>
      <c r="H20" s="45"/>
    </row>
    <row r="21" spans="1:12" ht="15.75">
      <c r="A21" s="45"/>
      <c r="B21" s="45"/>
      <c r="C21" s="45"/>
      <c r="D21" s="45"/>
      <c r="E21" s="45"/>
      <c r="F21" s="45"/>
      <c r="G21" s="47"/>
      <c r="H21" s="45"/>
    </row>
    <row r="22" spans="1:12" ht="15.75">
      <c r="A22" s="45"/>
      <c r="B22" s="45"/>
      <c r="C22" s="45"/>
      <c r="D22" s="45"/>
      <c r="E22" s="45"/>
      <c r="F22" s="45"/>
      <c r="G22" s="48"/>
      <c r="H22" s="45"/>
    </row>
    <row r="23" spans="1:12" ht="15.75">
      <c r="A23" s="49" t="s">
        <v>37</v>
      </c>
      <c r="C23" s="45"/>
      <c r="D23" s="49" t="s">
        <v>21</v>
      </c>
      <c r="F23" s="49"/>
      <c r="G23" s="49"/>
    </row>
    <row r="24" spans="1:12" ht="15.75">
      <c r="A24" s="50" t="s">
        <v>35</v>
      </c>
      <c r="C24" s="50"/>
      <c r="D24" s="50" t="s">
        <v>42</v>
      </c>
      <c r="F24" s="50"/>
      <c r="G24" s="50"/>
    </row>
    <row r="25" spans="1:12">
      <c r="A25" s="51"/>
      <c r="B25" s="51"/>
      <c r="C25" s="51"/>
      <c r="D25" s="51"/>
      <c r="E25" s="51"/>
      <c r="F25" s="51"/>
      <c r="G25" s="52"/>
      <c r="H25" s="51"/>
    </row>
    <row r="26" spans="1:12" s="1" customFormat="1" ht="23.25" hidden="1">
      <c r="A26" s="97" t="s">
        <v>0</v>
      </c>
      <c r="B26" s="97"/>
      <c r="C26" s="97"/>
      <c r="D26" s="97"/>
      <c r="E26" s="97"/>
      <c r="F26" s="97"/>
      <c r="G26" s="97"/>
      <c r="H26" s="97"/>
    </row>
    <row r="27" spans="1:12" s="1" customFormat="1" ht="21" hidden="1">
      <c r="A27" s="4"/>
      <c r="B27" s="5" t="s">
        <v>1</v>
      </c>
      <c r="C27" s="98" t="str">
        <f>C2</f>
        <v>ASTEC LTI</v>
      </c>
      <c r="D27" s="98"/>
      <c r="E27" s="5" t="s">
        <v>3</v>
      </c>
      <c r="F27" s="5"/>
      <c r="G27" s="103">
        <f>G2</f>
        <v>46209</v>
      </c>
      <c r="H27" s="103"/>
    </row>
    <row r="28" spans="1:12" ht="19.5" hidden="1">
      <c r="A28" s="6"/>
      <c r="B28" s="5" t="s">
        <v>4</v>
      </c>
      <c r="C28" s="100" t="str">
        <f>C3</f>
        <v>M-R4A-2026-07-629382</v>
      </c>
      <c r="D28" s="104"/>
      <c r="E28" s="5" t="s">
        <v>5</v>
      </c>
      <c r="F28" s="7"/>
      <c r="G28" s="101"/>
      <c r="H28" s="101"/>
    </row>
    <row r="29" spans="1:12" ht="19.5" hidden="1">
      <c r="A29" s="6"/>
      <c r="B29" s="5" t="s">
        <v>6</v>
      </c>
      <c r="C29" s="9">
        <f>C4</f>
        <v>507</v>
      </c>
      <c r="D29" s="10" t="s">
        <v>7</v>
      </c>
      <c r="E29" s="5" t="s">
        <v>8</v>
      </c>
      <c r="F29" s="11"/>
      <c r="G29" s="101"/>
      <c r="H29" s="101"/>
    </row>
    <row r="30" spans="1:12" ht="19.5" hidden="1">
      <c r="A30" s="6"/>
      <c r="B30" s="6"/>
      <c r="C30" s="6"/>
      <c r="D30" s="6"/>
      <c r="E30" s="6"/>
      <c r="F30" s="6"/>
      <c r="G30" s="12"/>
      <c r="H30" s="6"/>
    </row>
    <row r="31" spans="1:12" ht="39" hidden="1">
      <c r="A31" s="13" t="s">
        <v>9</v>
      </c>
      <c r="B31" s="13" t="s">
        <v>10</v>
      </c>
      <c r="C31" s="14" t="s">
        <v>11</v>
      </c>
      <c r="D31" s="14" t="s">
        <v>12</v>
      </c>
      <c r="E31" s="14" t="s">
        <v>13</v>
      </c>
      <c r="F31" s="14" t="s">
        <v>14</v>
      </c>
      <c r="G31" s="15" t="s">
        <v>15</v>
      </c>
      <c r="H31" s="14" t="s">
        <v>16</v>
      </c>
    </row>
    <row r="32" spans="1:12" s="2" customFormat="1" ht="20.100000000000001" hidden="1" customHeight="1">
      <c r="A32" s="53">
        <v>1</v>
      </c>
      <c r="B32" s="54" t="s">
        <v>22</v>
      </c>
      <c r="C32" s="55">
        <v>566</v>
      </c>
      <c r="D32" s="56">
        <v>1</v>
      </c>
      <c r="E32" s="57">
        <v>0</v>
      </c>
      <c r="F32" s="57">
        <f>C32*D32</f>
        <v>566</v>
      </c>
      <c r="G32" s="57">
        <f>C32-E32-F32</f>
        <v>0</v>
      </c>
      <c r="H32" s="58"/>
    </row>
    <row r="33" spans="1:8" s="2" customFormat="1" ht="20.100000000000001" hidden="1" customHeight="1">
      <c r="A33" s="53">
        <v>2</v>
      </c>
      <c r="B33" s="54"/>
      <c r="C33" s="55"/>
      <c r="D33" s="59"/>
      <c r="E33" s="57"/>
      <c r="F33" s="57"/>
      <c r="G33" s="57"/>
      <c r="H33" s="60"/>
    </row>
    <row r="34" spans="1:8" s="2" customFormat="1" ht="20.100000000000001" hidden="1" customHeight="1">
      <c r="A34" s="53">
        <v>3</v>
      </c>
      <c r="B34" s="61"/>
      <c r="C34" s="55"/>
      <c r="D34" s="62"/>
      <c r="E34" s="63"/>
      <c r="F34" s="63"/>
      <c r="G34" s="63"/>
      <c r="H34" s="60"/>
    </row>
    <row r="35" spans="1:8" s="2" customFormat="1" ht="20.100000000000001" hidden="1" customHeight="1">
      <c r="A35" s="53">
        <v>4</v>
      </c>
      <c r="B35" s="54"/>
      <c r="C35" s="64"/>
      <c r="D35" s="62"/>
      <c r="E35" s="63"/>
      <c r="F35" s="63"/>
      <c r="G35" s="63"/>
      <c r="H35" s="60"/>
    </row>
    <row r="36" spans="1:8" s="2" customFormat="1" ht="20.100000000000001" hidden="1" customHeight="1">
      <c r="A36" s="53">
        <v>5</v>
      </c>
      <c r="B36" s="54"/>
      <c r="C36" s="64"/>
      <c r="D36" s="62"/>
      <c r="E36" s="63"/>
      <c r="F36" s="63"/>
      <c r="G36" s="63"/>
      <c r="H36" s="60"/>
    </row>
    <row r="37" spans="1:8" s="2" customFormat="1" ht="20.100000000000001" hidden="1" customHeight="1">
      <c r="A37" s="53">
        <v>6</v>
      </c>
      <c r="B37" s="65"/>
      <c r="C37" s="66"/>
      <c r="D37" s="67"/>
      <c r="E37" s="63"/>
      <c r="F37" s="63"/>
      <c r="G37" s="63"/>
      <c r="H37" s="60"/>
    </row>
    <row r="38" spans="1:8" s="2" customFormat="1" ht="20.100000000000001" hidden="1" customHeight="1">
      <c r="A38" s="53">
        <v>7</v>
      </c>
      <c r="B38" s="68"/>
      <c r="C38" s="66"/>
      <c r="D38" s="67"/>
      <c r="E38" s="63"/>
      <c r="F38" s="63"/>
      <c r="G38" s="63"/>
      <c r="H38" s="60"/>
    </row>
    <row r="39" spans="1:8" s="2" customFormat="1" ht="20.100000000000001" hidden="1" customHeight="1">
      <c r="A39" s="53">
        <v>8</v>
      </c>
      <c r="B39" s="65"/>
      <c r="C39" s="66"/>
      <c r="D39" s="67"/>
      <c r="E39" s="63"/>
      <c r="F39" s="63"/>
      <c r="G39" s="63"/>
      <c r="H39" s="60"/>
    </row>
    <row r="40" spans="1:8" s="2" customFormat="1" ht="20.100000000000001" hidden="1" customHeight="1">
      <c r="A40" s="53">
        <v>9</v>
      </c>
      <c r="B40" s="65"/>
      <c r="C40" s="66"/>
      <c r="D40" s="67"/>
      <c r="E40" s="63"/>
      <c r="F40" s="63"/>
      <c r="G40" s="63"/>
      <c r="H40" s="60"/>
    </row>
    <row r="41" spans="1:8" s="2" customFormat="1" ht="20.100000000000001" hidden="1" customHeight="1">
      <c r="A41" s="53">
        <v>10</v>
      </c>
      <c r="B41" s="65"/>
      <c r="C41" s="66"/>
      <c r="D41" s="67"/>
      <c r="E41" s="63"/>
      <c r="F41" s="63"/>
      <c r="G41" s="63"/>
      <c r="H41" s="69"/>
    </row>
    <row r="42" spans="1:8" ht="19.5" hidden="1">
      <c r="A42" s="13"/>
      <c r="B42" s="36" t="s">
        <v>17</v>
      </c>
      <c r="C42" s="37">
        <f t="shared" ref="C42:G42" si="4">SUM(C32:C41)</f>
        <v>566</v>
      </c>
      <c r="D42" s="38"/>
      <c r="E42" s="39">
        <f t="shared" si="4"/>
        <v>0</v>
      </c>
      <c r="F42" s="40">
        <f t="shared" si="4"/>
        <v>566</v>
      </c>
      <c r="G42" s="41">
        <f t="shared" si="4"/>
        <v>0</v>
      </c>
      <c r="H42" s="42"/>
    </row>
    <row r="43" spans="1:8" hidden="1"/>
    <row r="44" spans="1:8" ht="15.75" hidden="1">
      <c r="A44" s="45" t="s">
        <v>19</v>
      </c>
      <c r="B44" s="45"/>
      <c r="C44" s="45"/>
      <c r="D44" s="70" t="s">
        <v>23</v>
      </c>
      <c r="E44" s="45"/>
      <c r="F44" s="45"/>
      <c r="G44" s="46" t="s">
        <v>24</v>
      </c>
      <c r="H44" s="45"/>
    </row>
    <row r="45" spans="1:8" ht="15.75" hidden="1">
      <c r="A45" s="45"/>
      <c r="B45" s="45"/>
      <c r="C45" s="45"/>
      <c r="D45" s="71"/>
      <c r="E45" s="45"/>
      <c r="F45" s="45"/>
      <c r="G45" s="47"/>
      <c r="H45" s="45"/>
    </row>
    <row r="46" spans="1:8" ht="15.75" hidden="1">
      <c r="A46" s="45"/>
      <c r="B46" s="45"/>
      <c r="C46" s="45"/>
      <c r="D46" s="45"/>
      <c r="E46" s="45"/>
      <c r="F46" s="45"/>
      <c r="G46" s="48"/>
      <c r="H46" s="45"/>
    </row>
    <row r="47" spans="1:8" ht="15.75" hidden="1">
      <c r="A47" s="72" t="str">
        <f>A23</f>
        <v>PRINCE JOHN JOHAN ARAGON</v>
      </c>
      <c r="C47" s="45"/>
      <c r="D47" s="49" t="s">
        <v>21</v>
      </c>
      <c r="F47" s="49"/>
      <c r="G47" s="49" t="s">
        <v>25</v>
      </c>
    </row>
    <row r="48" spans="1:8" ht="15.75" hidden="1">
      <c r="A48" s="73" t="str">
        <f>A24</f>
        <v>Documentation Staff</v>
      </c>
      <c r="C48" s="50"/>
      <c r="D48" s="50" t="s">
        <v>26</v>
      </c>
      <c r="F48" s="50"/>
      <c r="G48" s="50" t="s">
        <v>27</v>
      </c>
    </row>
    <row r="49" spans="1:8" ht="15.75" hidden="1">
      <c r="A49" s="45"/>
      <c r="B49" s="45"/>
      <c r="C49" s="45"/>
      <c r="D49" s="45"/>
      <c r="E49" s="45"/>
      <c r="F49" s="45"/>
      <c r="G49" s="48"/>
      <c r="H49" s="45"/>
    </row>
    <row r="50" spans="1:8" hidden="1"/>
    <row r="51" spans="1:8" hidden="1">
      <c r="G51" s="74"/>
    </row>
    <row r="52" spans="1:8" hidden="1">
      <c r="G52" s="74"/>
    </row>
    <row r="53" spans="1:8" ht="23.25">
      <c r="A53" s="105"/>
      <c r="B53" s="105"/>
      <c r="C53" s="105"/>
      <c r="D53" s="105"/>
      <c r="E53" s="105"/>
      <c r="F53" s="105"/>
      <c r="G53" s="105"/>
      <c r="H53" s="105"/>
    </row>
    <row r="54" spans="1:8" ht="18.75">
      <c r="A54" s="75"/>
      <c r="B54" s="76"/>
      <c r="C54" s="77"/>
      <c r="D54" s="78"/>
      <c r="E54" s="79"/>
      <c r="F54" s="79"/>
      <c r="G54" s="79"/>
      <c r="H54" s="80"/>
    </row>
    <row r="55" spans="1:8" ht="18.75">
      <c r="A55" s="75"/>
      <c r="B55" s="76"/>
      <c r="C55" s="77"/>
      <c r="D55" s="78"/>
      <c r="E55" s="79" t="s">
        <v>38</v>
      </c>
      <c r="F55" s="79"/>
      <c r="G55" s="79"/>
      <c r="H55" s="80"/>
    </row>
    <row r="56" spans="1:8" ht="18.75">
      <c r="A56" s="75"/>
      <c r="B56" s="76"/>
      <c r="C56" s="77"/>
      <c r="D56" s="78"/>
      <c r="E56" s="79"/>
      <c r="F56" s="79"/>
      <c r="G56" s="79"/>
      <c r="H56" s="80"/>
    </row>
    <row r="57" spans="1:8" ht="18.75">
      <c r="A57" s="75"/>
      <c r="B57" s="76"/>
      <c r="C57" s="77"/>
      <c r="D57" s="78"/>
      <c r="E57" s="79"/>
      <c r="F57" s="79"/>
      <c r="G57" s="79"/>
      <c r="H57" s="80"/>
    </row>
    <row r="58" spans="1:8" ht="18.75">
      <c r="A58" s="75"/>
      <c r="B58" s="76"/>
      <c r="C58" s="77"/>
      <c r="D58" s="78"/>
      <c r="E58" s="79"/>
      <c r="F58" s="79"/>
      <c r="G58" s="79"/>
      <c r="H58" s="80"/>
    </row>
    <row r="59" spans="1:8" ht="18.75">
      <c r="A59" s="75"/>
      <c r="B59" s="81"/>
      <c r="C59" s="77"/>
      <c r="D59" s="78"/>
      <c r="E59" s="79"/>
      <c r="F59" s="79"/>
      <c r="G59" s="79"/>
      <c r="H59" s="82"/>
    </row>
    <row r="60" spans="1:8" ht="18.75">
      <c r="A60" s="75"/>
      <c r="B60" s="106"/>
      <c r="C60" s="106"/>
      <c r="D60" s="106"/>
      <c r="E60" s="79"/>
      <c r="F60" s="79"/>
      <c r="G60" s="79"/>
      <c r="H60" s="82"/>
    </row>
    <row r="61" spans="1:8" ht="18.75">
      <c r="A61" s="75"/>
      <c r="B61" s="107"/>
      <c r="C61" s="107"/>
      <c r="D61" s="107"/>
      <c r="E61" s="79"/>
      <c r="F61" s="79"/>
      <c r="G61" s="79"/>
      <c r="H61" s="82"/>
    </row>
    <row r="62" spans="1:8" ht="18.75">
      <c r="A62" s="75"/>
      <c r="B62" s="108"/>
      <c r="C62" s="108"/>
      <c r="D62" s="108"/>
      <c r="E62" s="79"/>
      <c r="F62" s="79"/>
      <c r="G62" s="79"/>
      <c r="H62" s="82"/>
    </row>
    <row r="63" spans="1:8" ht="18.75">
      <c r="A63" s="75"/>
      <c r="B63" s="109"/>
      <c r="C63" s="109"/>
      <c r="D63" s="109"/>
      <c r="E63" s="79"/>
      <c r="F63" s="79"/>
      <c r="G63" s="79"/>
      <c r="H63" s="83"/>
    </row>
    <row r="64" spans="1:8" ht="19.5">
      <c r="A64" s="84"/>
      <c r="B64" s="85"/>
      <c r="C64" s="86"/>
      <c r="D64" s="87"/>
      <c r="E64" s="88"/>
      <c r="F64" s="89"/>
      <c r="G64" s="90"/>
      <c r="H64" s="91"/>
    </row>
    <row r="65" spans="1:8" ht="17.25">
      <c r="A65" s="102"/>
      <c r="B65" s="102"/>
      <c r="C65" s="102"/>
      <c r="D65" s="102"/>
      <c r="E65" s="102"/>
      <c r="F65" s="102"/>
      <c r="G65" s="102"/>
      <c r="H65" s="102"/>
    </row>
    <row r="66" spans="1:8" ht="15.75">
      <c r="A66" s="45"/>
      <c r="B66" s="45"/>
      <c r="C66" s="45"/>
      <c r="D66" s="45"/>
      <c r="E66" s="45"/>
      <c r="F66" s="45"/>
      <c r="G66" s="92"/>
      <c r="H66" s="45"/>
    </row>
    <row r="67" spans="1:8" ht="15.75">
      <c r="A67" s="45"/>
      <c r="B67" s="45"/>
      <c r="C67" s="45"/>
      <c r="D67" s="45"/>
      <c r="E67" s="45"/>
      <c r="F67" s="45"/>
      <c r="G67" s="47"/>
      <c r="H67" s="45"/>
    </row>
    <row r="68" spans="1:8" ht="15.75">
      <c r="A68" s="45"/>
      <c r="B68" s="45"/>
      <c r="C68" s="45"/>
      <c r="D68" s="45"/>
      <c r="E68" s="45"/>
      <c r="F68" s="45"/>
      <c r="G68" s="48"/>
      <c r="H68" s="45"/>
    </row>
    <row r="69" spans="1:8" ht="15.75">
      <c r="A69" s="49"/>
      <c r="C69" s="45"/>
      <c r="D69" s="49"/>
      <c r="F69" s="49"/>
      <c r="G69" s="49"/>
    </row>
    <row r="70" spans="1:8" ht="15.75">
      <c r="A70" s="50"/>
      <c r="C70" s="50"/>
      <c r="D70" s="50"/>
      <c r="F70" s="50"/>
      <c r="G70" s="50"/>
    </row>
    <row r="71" spans="1:8">
      <c r="A71" s="51"/>
      <c r="B71" s="51"/>
      <c r="C71" s="51"/>
      <c r="D71" s="51"/>
      <c r="E71" s="51"/>
      <c r="F71" s="51"/>
      <c r="G71" s="52"/>
      <c r="H71" s="51"/>
    </row>
  </sheetData>
  <mergeCells count="18">
    <mergeCell ref="B63:D63"/>
    <mergeCell ref="A65:H65"/>
    <mergeCell ref="G29:H29"/>
    <mergeCell ref="A53:H53"/>
    <mergeCell ref="B60:D60"/>
    <mergeCell ref="B61:D61"/>
    <mergeCell ref="B62:D62"/>
    <mergeCell ref="G4:H4"/>
    <mergeCell ref="A26:H26"/>
    <mergeCell ref="C27:D27"/>
    <mergeCell ref="G27:H27"/>
    <mergeCell ref="C28:D28"/>
    <mergeCell ref="G28:H28"/>
    <mergeCell ref="A1:H1"/>
    <mergeCell ref="C2:D2"/>
    <mergeCell ref="G2:H2"/>
    <mergeCell ref="C3:D3"/>
    <mergeCell ref="G3:H3"/>
  </mergeCells>
  <printOptions horizontalCentered="1"/>
  <pageMargins left="0" right="0" top="0.196850393700787" bottom="0" header="0" footer="0"/>
  <pageSetup paperSize="9" scale="8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6B2E3-96E8-404E-95A0-931CAF5FA367}">
  <sheetPr codeName="Sheet8">
    <pageSetUpPr fitToPage="1"/>
  </sheetPr>
  <dimension ref="A1:L71"/>
  <sheetViews>
    <sheetView view="pageBreakPreview" zoomScale="85" zoomScaleNormal="70" zoomScaleSheetLayoutView="85" workbookViewId="0">
      <selection activeCell="D56" sqref="D56"/>
    </sheetView>
  </sheetViews>
  <sheetFormatPr defaultColWidth="9" defaultRowHeight="15"/>
  <cols>
    <col min="1" max="1" width="5.7109375" customWidth="1"/>
    <col min="2" max="2" width="31.42578125" customWidth="1"/>
    <col min="3" max="3" width="15.85546875" customWidth="1"/>
    <col min="4" max="4" width="14.140625" customWidth="1"/>
    <col min="5" max="5" width="15.140625" customWidth="1"/>
    <col min="6" max="6" width="14.5703125" customWidth="1"/>
    <col min="7" max="7" width="14.42578125" style="3" customWidth="1"/>
    <col min="8" max="8" width="15.42578125" customWidth="1"/>
    <col min="10" max="10" width="14.85546875" customWidth="1"/>
  </cols>
  <sheetData>
    <row r="1" spans="1:10" s="1" customFormat="1" ht="23.25">
      <c r="A1" s="97" t="s">
        <v>0</v>
      </c>
      <c r="B1" s="97"/>
      <c r="C1" s="97"/>
      <c r="D1" s="97"/>
      <c r="E1" s="97"/>
      <c r="F1" s="97"/>
      <c r="G1" s="97"/>
      <c r="H1" s="97"/>
    </row>
    <row r="2" spans="1:10" s="1" customFormat="1" ht="21">
      <c r="A2" s="4"/>
      <c r="B2" s="5" t="s">
        <v>1</v>
      </c>
      <c r="C2" s="98" t="s">
        <v>29</v>
      </c>
      <c r="D2" s="98"/>
      <c r="E2" s="5" t="s">
        <v>3</v>
      </c>
      <c r="F2" s="5"/>
      <c r="G2" s="99">
        <v>46209</v>
      </c>
      <c r="H2" s="99"/>
    </row>
    <row r="3" spans="1:10" ht="19.5">
      <c r="A3" s="6"/>
      <c r="B3" s="5" t="s">
        <v>4</v>
      </c>
      <c r="C3" s="100" t="s">
        <v>57</v>
      </c>
      <c r="D3" s="100"/>
      <c r="E3" s="5" t="s">
        <v>5</v>
      </c>
      <c r="F3" s="7"/>
      <c r="G3" s="101" t="s">
        <v>60</v>
      </c>
      <c r="H3" s="101"/>
      <c r="J3" s="8"/>
    </row>
    <row r="4" spans="1:10" ht="19.5">
      <c r="A4" s="6"/>
      <c r="B4" s="5" t="s">
        <v>6</v>
      </c>
      <c r="C4" s="9">
        <f>C18</f>
        <v>2409.5</v>
      </c>
      <c r="D4" s="10" t="s">
        <v>7</v>
      </c>
      <c r="E4" s="5" t="s">
        <v>8</v>
      </c>
      <c r="F4" s="11"/>
      <c r="G4" s="95" t="s">
        <v>58</v>
      </c>
      <c r="H4" s="96"/>
    </row>
    <row r="5" spans="1:10" ht="6.75" customHeight="1">
      <c r="A5" s="6"/>
      <c r="B5" s="6"/>
      <c r="C5" s="6"/>
      <c r="D5" s="6"/>
      <c r="E5" s="6"/>
      <c r="F5" s="6"/>
      <c r="G5" s="12"/>
      <c r="H5" s="6"/>
    </row>
    <row r="6" spans="1:10" ht="39">
      <c r="A6" s="13" t="s">
        <v>9</v>
      </c>
      <c r="B6" s="13" t="s">
        <v>10</v>
      </c>
      <c r="C6" s="14" t="s">
        <v>11</v>
      </c>
      <c r="D6" s="14" t="s">
        <v>12</v>
      </c>
      <c r="E6" s="14" t="s">
        <v>13</v>
      </c>
      <c r="F6" s="14" t="s">
        <v>14</v>
      </c>
      <c r="G6" s="15" t="s">
        <v>15</v>
      </c>
      <c r="H6" s="14" t="s">
        <v>16</v>
      </c>
    </row>
    <row r="7" spans="1:10" s="2" customFormat="1" ht="20.100000000000001" customHeight="1">
      <c r="A7" s="16">
        <v>1</v>
      </c>
      <c r="B7" s="17" t="s">
        <v>39</v>
      </c>
      <c r="C7" s="18">
        <v>1091</v>
      </c>
      <c r="D7" s="19">
        <v>1</v>
      </c>
      <c r="E7" s="20">
        <f>C7*D7</f>
        <v>1091</v>
      </c>
      <c r="F7" s="20">
        <v>0</v>
      </c>
      <c r="G7" s="21">
        <v>0</v>
      </c>
      <c r="H7" s="22"/>
      <c r="J7" s="23">
        <f t="shared" ref="J7:J18" si="0">E7+F7+G7</f>
        <v>1091</v>
      </c>
    </row>
    <row r="8" spans="1:10" s="2" customFormat="1" ht="20.100000000000001" customHeight="1">
      <c r="A8" s="16">
        <v>2</v>
      </c>
      <c r="B8" s="17" t="s">
        <v>59</v>
      </c>
      <c r="C8" s="18">
        <v>996.5</v>
      </c>
      <c r="D8" s="19">
        <v>1</v>
      </c>
      <c r="E8" s="20">
        <f>C8*D8</f>
        <v>996.5</v>
      </c>
      <c r="F8" s="20">
        <v>0</v>
      </c>
      <c r="G8" s="21">
        <v>0</v>
      </c>
      <c r="H8" s="24"/>
      <c r="J8" s="23">
        <f t="shared" si="0"/>
        <v>996.5</v>
      </c>
    </row>
    <row r="9" spans="1:10" s="2" customFormat="1" ht="20.100000000000001" customHeight="1">
      <c r="A9" s="16">
        <v>3</v>
      </c>
      <c r="B9" s="17" t="s">
        <v>32</v>
      </c>
      <c r="C9" s="18">
        <v>322</v>
      </c>
      <c r="D9" s="19">
        <v>0.1</v>
      </c>
      <c r="E9" s="20">
        <f>ROUND(C9*D9,0)</f>
        <v>32</v>
      </c>
      <c r="F9" s="20">
        <v>0</v>
      </c>
      <c r="G9" s="21">
        <f>C9-E9</f>
        <v>290</v>
      </c>
      <c r="H9" s="24"/>
      <c r="J9" s="23">
        <f t="shared" si="0"/>
        <v>322</v>
      </c>
    </row>
    <row r="10" spans="1:10" s="2" customFormat="1" ht="20.100000000000001" customHeight="1">
      <c r="A10" s="16">
        <v>4</v>
      </c>
      <c r="B10" s="17"/>
      <c r="C10" s="18"/>
      <c r="D10" s="19"/>
      <c r="E10" s="20">
        <f t="shared" ref="E10:E17" si="1">ROUND(C10*D10,0)</f>
        <v>0</v>
      </c>
      <c r="F10" s="20">
        <v>0</v>
      </c>
      <c r="G10" s="21">
        <f t="shared" ref="G10:G17" si="2">C10-E10-F10</f>
        <v>0</v>
      </c>
      <c r="H10" s="24"/>
      <c r="J10" s="23">
        <f t="shared" si="0"/>
        <v>0</v>
      </c>
    </row>
    <row r="11" spans="1:10" s="2" customFormat="1" ht="20.100000000000001" customHeight="1">
      <c r="A11" s="16">
        <v>5</v>
      </c>
      <c r="B11" s="17"/>
      <c r="C11" s="18"/>
      <c r="D11" s="19"/>
      <c r="E11" s="20">
        <f t="shared" si="1"/>
        <v>0</v>
      </c>
      <c r="F11" s="20">
        <v>0</v>
      </c>
      <c r="G11" s="21">
        <f t="shared" si="2"/>
        <v>0</v>
      </c>
      <c r="H11" s="25"/>
      <c r="J11" s="23">
        <f t="shared" si="0"/>
        <v>0</v>
      </c>
    </row>
    <row r="12" spans="1:10" s="2" customFormat="1" ht="20.100000000000001" customHeight="1">
      <c r="A12" s="16">
        <v>6</v>
      </c>
      <c r="B12" s="17"/>
      <c r="C12" s="18"/>
      <c r="D12" s="26"/>
      <c r="E12" s="20">
        <f t="shared" si="1"/>
        <v>0</v>
      </c>
      <c r="F12" s="20">
        <v>0</v>
      </c>
      <c r="G12" s="21">
        <f t="shared" si="2"/>
        <v>0</v>
      </c>
      <c r="H12" s="27"/>
      <c r="J12" s="23">
        <f t="shared" si="0"/>
        <v>0</v>
      </c>
    </row>
    <row r="13" spans="1:10" s="2" customFormat="1" ht="19.5" customHeight="1">
      <c r="A13" s="16">
        <v>7</v>
      </c>
      <c r="B13" s="17"/>
      <c r="C13" s="28"/>
      <c r="D13" s="29"/>
      <c r="E13" s="20">
        <f t="shared" si="1"/>
        <v>0</v>
      </c>
      <c r="F13" s="20">
        <v>0</v>
      </c>
      <c r="G13" s="21">
        <f t="shared" si="2"/>
        <v>0</v>
      </c>
      <c r="H13" s="30"/>
      <c r="J13" s="23">
        <f t="shared" si="0"/>
        <v>0</v>
      </c>
    </row>
    <row r="14" spans="1:10" s="2" customFormat="1" ht="19.5" customHeight="1">
      <c r="A14" s="16">
        <v>8</v>
      </c>
      <c r="B14" s="17"/>
      <c r="C14" s="28"/>
      <c r="D14" s="29"/>
      <c r="E14" s="20">
        <f t="shared" si="1"/>
        <v>0</v>
      </c>
      <c r="F14" s="20">
        <v>0</v>
      </c>
      <c r="G14" s="21">
        <f t="shared" si="2"/>
        <v>0</v>
      </c>
      <c r="H14" s="30"/>
      <c r="J14" s="23">
        <f t="shared" si="0"/>
        <v>0</v>
      </c>
    </row>
    <row r="15" spans="1:10" s="2" customFormat="1" ht="19.5" customHeight="1">
      <c r="A15" s="16">
        <v>9</v>
      </c>
      <c r="B15" s="31"/>
      <c r="C15" s="32"/>
      <c r="D15" s="33"/>
      <c r="E15" s="20">
        <f t="shared" si="1"/>
        <v>0</v>
      </c>
      <c r="F15" s="20">
        <v>0</v>
      </c>
      <c r="G15" s="21">
        <f t="shared" si="2"/>
        <v>0</v>
      </c>
      <c r="H15" s="30"/>
      <c r="J15" s="23">
        <f t="shared" si="0"/>
        <v>0</v>
      </c>
    </row>
    <row r="16" spans="1:10" s="2" customFormat="1" ht="19.5" customHeight="1">
      <c r="A16" s="16">
        <v>10</v>
      </c>
      <c r="B16" s="34"/>
      <c r="C16" s="35"/>
      <c r="D16" s="33"/>
      <c r="E16" s="20">
        <f t="shared" si="1"/>
        <v>0</v>
      </c>
      <c r="F16" s="20">
        <v>0</v>
      </c>
      <c r="G16" s="21">
        <f t="shared" si="2"/>
        <v>0</v>
      </c>
      <c r="H16" s="30"/>
      <c r="J16" s="23">
        <f t="shared" si="0"/>
        <v>0</v>
      </c>
    </row>
    <row r="17" spans="1:12" s="2" customFormat="1" ht="19.5" customHeight="1">
      <c r="A17" s="16">
        <v>11</v>
      </c>
      <c r="B17" s="34"/>
      <c r="C17" s="35"/>
      <c r="D17" s="33"/>
      <c r="E17" s="20">
        <f t="shared" si="1"/>
        <v>0</v>
      </c>
      <c r="F17" s="20">
        <v>0</v>
      </c>
      <c r="G17" s="21">
        <f t="shared" si="2"/>
        <v>0</v>
      </c>
      <c r="H17" s="30"/>
      <c r="J17" s="23">
        <f t="shared" si="0"/>
        <v>0</v>
      </c>
    </row>
    <row r="18" spans="1:12" ht="19.5">
      <c r="A18" s="13"/>
      <c r="B18" s="36" t="s">
        <v>17</v>
      </c>
      <c r="C18" s="37">
        <f>SUM(C7:C17)</f>
        <v>2409.5</v>
      </c>
      <c r="D18" s="37"/>
      <c r="E18" s="37">
        <f>SUM(E7:E17)</f>
        <v>2119.5</v>
      </c>
      <c r="F18" s="37">
        <f>SUM(F7:F9)</f>
        <v>0</v>
      </c>
      <c r="G18" s="37">
        <f>SUM(G7:G9)</f>
        <v>290</v>
      </c>
      <c r="H18" s="42"/>
      <c r="J18" s="43">
        <f t="shared" si="0"/>
        <v>2409.5</v>
      </c>
      <c r="L18" s="8" t="s">
        <v>18</v>
      </c>
    </row>
    <row r="19" spans="1:12" ht="9" customHeight="1">
      <c r="A19" s="44"/>
      <c r="B19" s="44"/>
      <c r="C19" s="44"/>
      <c r="D19" s="44"/>
      <c r="E19" s="44"/>
      <c r="F19" s="44"/>
      <c r="G19" s="44"/>
      <c r="H19" s="44"/>
    </row>
    <row r="20" spans="1:12" ht="15.75">
      <c r="A20" s="45" t="s">
        <v>19</v>
      </c>
      <c r="B20" s="45"/>
      <c r="C20" s="45"/>
      <c r="D20" s="45" t="s">
        <v>20</v>
      </c>
      <c r="E20" s="45"/>
      <c r="F20" s="45"/>
      <c r="G20" s="46"/>
      <c r="H20" s="45"/>
    </row>
    <row r="21" spans="1:12" ht="15.75">
      <c r="A21" s="45"/>
      <c r="B21" s="45"/>
      <c r="C21" s="45"/>
      <c r="D21" s="45"/>
      <c r="E21" s="45"/>
      <c r="F21" s="45"/>
      <c r="G21" s="47"/>
      <c r="H21" s="45"/>
    </row>
    <row r="22" spans="1:12" ht="15.75">
      <c r="A22" s="45"/>
      <c r="B22" s="45"/>
      <c r="C22" s="45"/>
      <c r="D22" s="45"/>
      <c r="E22" s="45"/>
      <c r="F22" s="45"/>
      <c r="G22" s="48"/>
      <c r="H22" s="45"/>
    </row>
    <row r="23" spans="1:12" ht="15.75">
      <c r="A23" s="49" t="s">
        <v>37</v>
      </c>
      <c r="C23" s="45"/>
      <c r="D23" s="49" t="s">
        <v>21</v>
      </c>
      <c r="F23" s="49"/>
      <c r="G23" s="49"/>
    </row>
    <row r="24" spans="1:12" ht="15.75">
      <c r="A24" s="50" t="s">
        <v>35</v>
      </c>
      <c r="C24" s="50"/>
      <c r="D24" s="50" t="s">
        <v>42</v>
      </c>
      <c r="F24" s="50"/>
      <c r="G24" s="50"/>
    </row>
    <row r="25" spans="1:12">
      <c r="A25" s="51"/>
      <c r="B25" s="51"/>
      <c r="C25" s="51"/>
      <c r="D25" s="51"/>
      <c r="E25" s="51"/>
      <c r="F25" s="51"/>
      <c r="G25" s="52"/>
      <c r="H25" s="51"/>
    </row>
    <row r="26" spans="1:12" s="1" customFormat="1" ht="23.25" hidden="1">
      <c r="A26" s="97" t="s">
        <v>0</v>
      </c>
      <c r="B26" s="97"/>
      <c r="C26" s="97"/>
      <c r="D26" s="97"/>
      <c r="E26" s="97"/>
      <c r="F26" s="97"/>
      <c r="G26" s="97"/>
      <c r="H26" s="97"/>
    </row>
    <row r="27" spans="1:12" s="1" customFormat="1" ht="21" hidden="1">
      <c r="A27" s="4"/>
      <c r="B27" s="5" t="s">
        <v>1</v>
      </c>
      <c r="C27" s="98" t="str">
        <f>C2</f>
        <v>ASTEC CEZ</v>
      </c>
      <c r="D27" s="98"/>
      <c r="E27" s="5" t="s">
        <v>3</v>
      </c>
      <c r="F27" s="5"/>
      <c r="G27" s="103">
        <f>G2</f>
        <v>46209</v>
      </c>
      <c r="H27" s="103"/>
    </row>
    <row r="28" spans="1:12" ht="19.5" hidden="1">
      <c r="A28" s="6"/>
      <c r="B28" s="5" t="s">
        <v>4</v>
      </c>
      <c r="C28" s="100" t="str">
        <f>C3</f>
        <v>M-R4A-2026-07-629475</v>
      </c>
      <c r="D28" s="104"/>
      <c r="E28" s="5" t="s">
        <v>5</v>
      </c>
      <c r="F28" s="7"/>
      <c r="G28" s="101"/>
      <c r="H28" s="101"/>
    </row>
    <row r="29" spans="1:12" ht="19.5" hidden="1">
      <c r="A29" s="6"/>
      <c r="B29" s="5" t="s">
        <v>6</v>
      </c>
      <c r="C29" s="9">
        <f>C4</f>
        <v>2409.5</v>
      </c>
      <c r="D29" s="10" t="s">
        <v>7</v>
      </c>
      <c r="E29" s="5" t="s">
        <v>8</v>
      </c>
      <c r="F29" s="11"/>
      <c r="G29" s="101"/>
      <c r="H29" s="101"/>
    </row>
    <row r="30" spans="1:12" ht="19.5" hidden="1">
      <c r="A30" s="6"/>
      <c r="B30" s="6"/>
      <c r="C30" s="6"/>
      <c r="D30" s="6"/>
      <c r="E30" s="6"/>
      <c r="F30" s="6"/>
      <c r="G30" s="12"/>
      <c r="H30" s="6"/>
    </row>
    <row r="31" spans="1:12" ht="39" hidden="1">
      <c r="A31" s="13" t="s">
        <v>9</v>
      </c>
      <c r="B31" s="13" t="s">
        <v>10</v>
      </c>
      <c r="C31" s="14" t="s">
        <v>11</v>
      </c>
      <c r="D31" s="14" t="s">
        <v>12</v>
      </c>
      <c r="E31" s="14" t="s">
        <v>13</v>
      </c>
      <c r="F31" s="14" t="s">
        <v>14</v>
      </c>
      <c r="G31" s="15" t="s">
        <v>15</v>
      </c>
      <c r="H31" s="14" t="s">
        <v>16</v>
      </c>
    </row>
    <row r="32" spans="1:12" s="2" customFormat="1" ht="20.100000000000001" hidden="1" customHeight="1">
      <c r="A32" s="53">
        <v>1</v>
      </c>
      <c r="B32" s="54" t="s">
        <v>22</v>
      </c>
      <c r="C32" s="55">
        <v>566</v>
      </c>
      <c r="D32" s="56">
        <v>1</v>
      </c>
      <c r="E32" s="57">
        <v>0</v>
      </c>
      <c r="F32" s="57">
        <f>C32*D32</f>
        <v>566</v>
      </c>
      <c r="G32" s="57">
        <f>C32-E32-F32</f>
        <v>0</v>
      </c>
      <c r="H32" s="58"/>
    </row>
    <row r="33" spans="1:8" s="2" customFormat="1" ht="20.100000000000001" hidden="1" customHeight="1">
      <c r="A33" s="53">
        <v>2</v>
      </c>
      <c r="B33" s="54"/>
      <c r="C33" s="55"/>
      <c r="D33" s="59"/>
      <c r="E33" s="57"/>
      <c r="F33" s="57"/>
      <c r="G33" s="57"/>
      <c r="H33" s="60"/>
    </row>
    <row r="34" spans="1:8" s="2" customFormat="1" ht="20.100000000000001" hidden="1" customHeight="1">
      <c r="A34" s="53">
        <v>3</v>
      </c>
      <c r="B34" s="61"/>
      <c r="C34" s="55"/>
      <c r="D34" s="62"/>
      <c r="E34" s="63"/>
      <c r="F34" s="63"/>
      <c r="G34" s="63"/>
      <c r="H34" s="60"/>
    </row>
    <row r="35" spans="1:8" s="2" customFormat="1" ht="20.100000000000001" hidden="1" customHeight="1">
      <c r="A35" s="53">
        <v>4</v>
      </c>
      <c r="B35" s="54"/>
      <c r="C35" s="64"/>
      <c r="D35" s="62"/>
      <c r="E35" s="63"/>
      <c r="F35" s="63"/>
      <c r="G35" s="63"/>
      <c r="H35" s="60"/>
    </row>
    <row r="36" spans="1:8" s="2" customFormat="1" ht="20.100000000000001" hidden="1" customHeight="1">
      <c r="A36" s="53">
        <v>5</v>
      </c>
      <c r="B36" s="54"/>
      <c r="C36" s="64"/>
      <c r="D36" s="62"/>
      <c r="E36" s="63"/>
      <c r="F36" s="63"/>
      <c r="G36" s="63"/>
      <c r="H36" s="60"/>
    </row>
    <row r="37" spans="1:8" s="2" customFormat="1" ht="20.100000000000001" hidden="1" customHeight="1">
      <c r="A37" s="53">
        <v>6</v>
      </c>
      <c r="B37" s="65"/>
      <c r="C37" s="66"/>
      <c r="D37" s="67"/>
      <c r="E37" s="63"/>
      <c r="F37" s="63"/>
      <c r="G37" s="63"/>
      <c r="H37" s="60"/>
    </row>
    <row r="38" spans="1:8" s="2" customFormat="1" ht="20.100000000000001" hidden="1" customHeight="1">
      <c r="A38" s="53">
        <v>7</v>
      </c>
      <c r="B38" s="68"/>
      <c r="C38" s="66"/>
      <c r="D38" s="67"/>
      <c r="E38" s="63"/>
      <c r="F38" s="63"/>
      <c r="G38" s="63"/>
      <c r="H38" s="60"/>
    </row>
    <row r="39" spans="1:8" s="2" customFormat="1" ht="20.100000000000001" hidden="1" customHeight="1">
      <c r="A39" s="53">
        <v>8</v>
      </c>
      <c r="B39" s="65"/>
      <c r="C39" s="66"/>
      <c r="D39" s="67"/>
      <c r="E39" s="63"/>
      <c r="F39" s="63"/>
      <c r="G39" s="63"/>
      <c r="H39" s="60"/>
    </row>
    <row r="40" spans="1:8" s="2" customFormat="1" ht="20.100000000000001" hidden="1" customHeight="1">
      <c r="A40" s="53">
        <v>9</v>
      </c>
      <c r="B40" s="65"/>
      <c r="C40" s="66"/>
      <c r="D40" s="67"/>
      <c r="E40" s="63"/>
      <c r="F40" s="63"/>
      <c r="G40" s="63"/>
      <c r="H40" s="60"/>
    </row>
    <row r="41" spans="1:8" s="2" customFormat="1" ht="20.100000000000001" hidden="1" customHeight="1">
      <c r="A41" s="53">
        <v>10</v>
      </c>
      <c r="B41" s="65"/>
      <c r="C41" s="66"/>
      <c r="D41" s="67"/>
      <c r="E41" s="63"/>
      <c r="F41" s="63"/>
      <c r="G41" s="63"/>
      <c r="H41" s="69"/>
    </row>
    <row r="42" spans="1:8" ht="19.5" hidden="1">
      <c r="A42" s="13"/>
      <c r="B42" s="36" t="s">
        <v>17</v>
      </c>
      <c r="C42" s="37">
        <f t="shared" ref="C42:G42" si="3">SUM(C32:C41)</f>
        <v>566</v>
      </c>
      <c r="D42" s="38"/>
      <c r="E42" s="39">
        <f t="shared" si="3"/>
        <v>0</v>
      </c>
      <c r="F42" s="40">
        <f t="shared" si="3"/>
        <v>566</v>
      </c>
      <c r="G42" s="41">
        <f t="shared" si="3"/>
        <v>0</v>
      </c>
      <c r="H42" s="42"/>
    </row>
    <row r="43" spans="1:8" hidden="1"/>
    <row r="44" spans="1:8" ht="15.75" hidden="1">
      <c r="A44" s="45" t="s">
        <v>19</v>
      </c>
      <c r="B44" s="45"/>
      <c r="C44" s="45"/>
      <c r="D44" s="70" t="s">
        <v>23</v>
      </c>
      <c r="E44" s="45"/>
      <c r="F44" s="45"/>
      <c r="G44" s="46" t="s">
        <v>24</v>
      </c>
      <c r="H44" s="45"/>
    </row>
    <row r="45" spans="1:8" ht="15.75" hidden="1">
      <c r="A45" s="45"/>
      <c r="B45" s="45"/>
      <c r="C45" s="45"/>
      <c r="D45" s="71"/>
      <c r="E45" s="45"/>
      <c r="F45" s="45"/>
      <c r="G45" s="47"/>
      <c r="H45" s="45"/>
    </row>
    <row r="46" spans="1:8" ht="15.75" hidden="1">
      <c r="A46" s="45"/>
      <c r="B46" s="45"/>
      <c r="C46" s="45"/>
      <c r="D46" s="45"/>
      <c r="E46" s="45"/>
      <c r="F46" s="45"/>
      <c r="G46" s="48"/>
      <c r="H46" s="45"/>
    </row>
    <row r="47" spans="1:8" ht="15.75" hidden="1">
      <c r="A47" s="72" t="str">
        <f>A23</f>
        <v>PRINCE JOHN JOHAN ARAGON</v>
      </c>
      <c r="C47" s="45"/>
      <c r="D47" s="49" t="s">
        <v>21</v>
      </c>
      <c r="F47" s="49"/>
      <c r="G47" s="49" t="s">
        <v>25</v>
      </c>
    </row>
    <row r="48" spans="1:8" ht="15.75" hidden="1">
      <c r="A48" s="73" t="str">
        <f>A24</f>
        <v>Documentation Staff</v>
      </c>
      <c r="C48" s="50"/>
      <c r="D48" s="50" t="s">
        <v>26</v>
      </c>
      <c r="F48" s="50"/>
      <c r="G48" s="50" t="s">
        <v>27</v>
      </c>
    </row>
    <row r="49" spans="1:8" ht="15.75" hidden="1">
      <c r="A49" s="45"/>
      <c r="B49" s="45"/>
      <c r="C49" s="45"/>
      <c r="D49" s="45"/>
      <c r="E49" s="45"/>
      <c r="F49" s="45"/>
      <c r="G49" s="48"/>
      <c r="H49" s="45"/>
    </row>
    <row r="50" spans="1:8" hidden="1"/>
    <row r="51" spans="1:8" hidden="1">
      <c r="G51" s="74"/>
    </row>
    <row r="52" spans="1:8" hidden="1">
      <c r="G52" s="74"/>
    </row>
    <row r="53" spans="1:8" ht="23.25">
      <c r="A53" s="105"/>
      <c r="B53" s="105"/>
      <c r="C53" s="105"/>
      <c r="D53" s="105"/>
      <c r="E53" s="105"/>
      <c r="F53" s="105"/>
      <c r="G53" s="105"/>
      <c r="H53" s="105"/>
    </row>
    <row r="54" spans="1:8" ht="18.75">
      <c r="A54" s="75"/>
      <c r="B54" s="76"/>
      <c r="C54" s="77"/>
      <c r="D54" s="78"/>
      <c r="E54" s="79"/>
      <c r="F54" s="79"/>
      <c r="G54" s="79"/>
      <c r="H54" s="80"/>
    </row>
    <row r="55" spans="1:8" ht="18.75">
      <c r="A55" s="75"/>
      <c r="B55" s="76"/>
      <c r="C55" s="77"/>
      <c r="D55" s="78"/>
      <c r="E55" s="79" t="s">
        <v>38</v>
      </c>
      <c r="F55" s="79"/>
      <c r="G55" s="79"/>
      <c r="H55" s="80"/>
    </row>
    <row r="56" spans="1:8" ht="18.75">
      <c r="A56" s="75"/>
      <c r="B56" s="76"/>
      <c r="C56" s="77"/>
      <c r="D56" s="78"/>
      <c r="E56" s="79"/>
      <c r="F56" s="79"/>
      <c r="G56" s="79"/>
      <c r="H56" s="80"/>
    </row>
    <row r="57" spans="1:8" ht="18.75">
      <c r="A57" s="75"/>
      <c r="B57" s="76"/>
      <c r="C57" s="77"/>
      <c r="D57" s="78"/>
      <c r="E57" s="79"/>
      <c r="F57" s="79"/>
      <c r="G57" s="79"/>
      <c r="H57" s="80"/>
    </row>
    <row r="58" spans="1:8" ht="18.75">
      <c r="A58" s="75"/>
      <c r="B58" s="76"/>
      <c r="C58" s="77"/>
      <c r="D58" s="78"/>
      <c r="E58" s="79"/>
      <c r="F58" s="79"/>
      <c r="G58" s="79"/>
      <c r="H58" s="80"/>
    </row>
    <row r="59" spans="1:8" ht="18.75">
      <c r="A59" s="75"/>
      <c r="B59" s="81"/>
      <c r="C59" s="77"/>
      <c r="D59" s="78"/>
      <c r="E59" s="79"/>
      <c r="F59" s="79"/>
      <c r="G59" s="79"/>
      <c r="H59" s="82"/>
    </row>
    <row r="60" spans="1:8" ht="18.75">
      <c r="A60" s="75"/>
      <c r="B60" s="106"/>
      <c r="C60" s="106"/>
      <c r="D60" s="106"/>
      <c r="E60" s="79"/>
      <c r="F60" s="79"/>
      <c r="G60" s="79"/>
      <c r="H60" s="82"/>
    </row>
    <row r="61" spans="1:8" ht="18.75">
      <c r="A61" s="75"/>
      <c r="B61" s="107"/>
      <c r="C61" s="107"/>
      <c r="D61" s="107"/>
      <c r="E61" s="79"/>
      <c r="F61" s="79"/>
      <c r="G61" s="79"/>
      <c r="H61" s="82"/>
    </row>
    <row r="62" spans="1:8" ht="18.75">
      <c r="A62" s="75"/>
      <c r="B62" s="108"/>
      <c r="C62" s="108"/>
      <c r="D62" s="108"/>
      <c r="E62" s="79"/>
      <c r="F62" s="79"/>
      <c r="G62" s="79"/>
      <c r="H62" s="82"/>
    </row>
    <row r="63" spans="1:8" ht="18.75">
      <c r="A63" s="75"/>
      <c r="B63" s="109"/>
      <c r="C63" s="109"/>
      <c r="D63" s="109"/>
      <c r="E63" s="79"/>
      <c r="F63" s="79"/>
      <c r="G63" s="79"/>
      <c r="H63" s="83"/>
    </row>
    <row r="64" spans="1:8" ht="19.5">
      <c r="A64" s="84"/>
      <c r="B64" s="85"/>
      <c r="C64" s="86"/>
      <c r="D64" s="87"/>
      <c r="E64" s="88"/>
      <c r="F64" s="89"/>
      <c r="G64" s="90"/>
      <c r="H64" s="91"/>
    </row>
    <row r="65" spans="1:8" ht="17.25">
      <c r="A65" s="102"/>
      <c r="B65" s="102"/>
      <c r="C65" s="102"/>
      <c r="D65" s="102"/>
      <c r="E65" s="102"/>
      <c r="F65" s="102"/>
      <c r="G65" s="102"/>
      <c r="H65" s="102"/>
    </row>
    <row r="66" spans="1:8" ht="15.75">
      <c r="A66" s="45"/>
      <c r="B66" s="45"/>
      <c r="C66" s="45"/>
      <c r="D66" s="45"/>
      <c r="E66" s="45"/>
      <c r="F66" s="45"/>
      <c r="G66" s="92"/>
      <c r="H66" s="45"/>
    </row>
    <row r="67" spans="1:8" ht="15.75">
      <c r="A67" s="45"/>
      <c r="B67" s="45"/>
      <c r="C67" s="45"/>
      <c r="D67" s="45"/>
      <c r="E67" s="45"/>
      <c r="F67" s="45"/>
      <c r="G67" s="47"/>
      <c r="H67" s="45"/>
    </row>
    <row r="68" spans="1:8" ht="15.75">
      <c r="A68" s="45"/>
      <c r="B68" s="45"/>
      <c r="C68" s="45"/>
      <c r="D68" s="45"/>
      <c r="E68" s="45"/>
      <c r="F68" s="45"/>
      <c r="G68" s="48"/>
      <c r="H68" s="45"/>
    </row>
    <row r="69" spans="1:8" ht="15.75">
      <c r="A69" s="49"/>
      <c r="C69" s="45"/>
      <c r="D69" s="49"/>
      <c r="F69" s="49"/>
      <c r="G69" s="49"/>
    </row>
    <row r="70" spans="1:8" ht="15.75">
      <c r="A70" s="50"/>
      <c r="C70" s="50"/>
      <c r="D70" s="50"/>
      <c r="F70" s="50"/>
      <c r="G70" s="50"/>
    </row>
    <row r="71" spans="1:8">
      <c r="A71" s="51"/>
      <c r="B71" s="51"/>
      <c r="C71" s="51"/>
      <c r="D71" s="51"/>
      <c r="E71" s="51"/>
      <c r="F71" s="51"/>
      <c r="G71" s="52"/>
      <c r="H71" s="51"/>
    </row>
  </sheetData>
  <mergeCells count="18">
    <mergeCell ref="G4:H4"/>
    <mergeCell ref="A1:H1"/>
    <mergeCell ref="C2:D2"/>
    <mergeCell ref="G2:H2"/>
    <mergeCell ref="C3:D3"/>
    <mergeCell ref="G3:H3"/>
    <mergeCell ref="A65:H65"/>
    <mergeCell ref="A26:H26"/>
    <mergeCell ref="C27:D27"/>
    <mergeCell ref="G27:H27"/>
    <mergeCell ref="C28:D28"/>
    <mergeCell ref="G28:H28"/>
    <mergeCell ref="G29:H29"/>
    <mergeCell ref="A53:H53"/>
    <mergeCell ref="B60:D60"/>
    <mergeCell ref="B61:D61"/>
    <mergeCell ref="B62:D62"/>
    <mergeCell ref="B63:D63"/>
  </mergeCells>
  <printOptions horizontalCentered="1"/>
  <pageMargins left="0" right="0" top="0.196850393700787" bottom="0" header="0" footer="0"/>
  <pageSetup paperSize="9" scale="8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1E2C0-D9E8-4973-9CD4-BA48CD3BC16B}">
  <sheetPr codeName="Sheet9">
    <pageSetUpPr fitToPage="1"/>
  </sheetPr>
  <dimension ref="A1:L71"/>
  <sheetViews>
    <sheetView view="pageBreakPreview" zoomScale="85" zoomScaleNormal="70" zoomScaleSheetLayoutView="85" workbookViewId="0">
      <selection activeCell="C55" sqref="C55"/>
    </sheetView>
  </sheetViews>
  <sheetFormatPr defaultColWidth="9" defaultRowHeight="15"/>
  <cols>
    <col min="1" max="1" width="5.7109375" customWidth="1"/>
    <col min="2" max="2" width="31.42578125" customWidth="1"/>
    <col min="3" max="3" width="15.85546875" customWidth="1"/>
    <col min="4" max="4" width="14.140625" customWidth="1"/>
    <col min="5" max="5" width="15.140625" customWidth="1"/>
    <col min="6" max="6" width="14.5703125" customWidth="1"/>
    <col min="7" max="7" width="14.42578125" style="3" customWidth="1"/>
    <col min="8" max="8" width="15.42578125" customWidth="1"/>
    <col min="10" max="10" width="14.85546875" customWidth="1"/>
  </cols>
  <sheetData>
    <row r="1" spans="1:10" s="1" customFormat="1" ht="23.25">
      <c r="A1" s="97" t="s">
        <v>0</v>
      </c>
      <c r="B1" s="97"/>
      <c r="C1" s="97"/>
      <c r="D1" s="97"/>
      <c r="E1" s="97"/>
      <c r="F1" s="97"/>
      <c r="G1" s="97"/>
      <c r="H1" s="97"/>
    </row>
    <row r="2" spans="1:10" s="1" customFormat="1" ht="21">
      <c r="A2" s="4"/>
      <c r="B2" s="5" t="s">
        <v>1</v>
      </c>
      <c r="C2" s="98" t="s">
        <v>61</v>
      </c>
      <c r="D2" s="98"/>
      <c r="E2" s="5" t="s">
        <v>3</v>
      </c>
      <c r="F2" s="5"/>
      <c r="G2" s="99">
        <v>46209</v>
      </c>
      <c r="H2" s="99"/>
    </row>
    <row r="3" spans="1:10" ht="19.5">
      <c r="A3" s="6"/>
      <c r="B3" s="5" t="s">
        <v>4</v>
      </c>
      <c r="C3" s="100" t="s">
        <v>66</v>
      </c>
      <c r="D3" s="100"/>
      <c r="E3" s="5" t="s">
        <v>5</v>
      </c>
      <c r="F3" s="7"/>
      <c r="G3" s="101" t="s">
        <v>30</v>
      </c>
      <c r="H3" s="101"/>
      <c r="J3" s="8"/>
    </row>
    <row r="4" spans="1:10" ht="19.5">
      <c r="A4" s="6"/>
      <c r="B4" s="5" t="s">
        <v>6</v>
      </c>
      <c r="C4" s="9">
        <f>C18</f>
        <v>2010</v>
      </c>
      <c r="D4" s="10" t="s">
        <v>7</v>
      </c>
      <c r="E4" s="5" t="s">
        <v>8</v>
      </c>
      <c r="F4" s="11"/>
      <c r="G4" s="95">
        <v>15467</v>
      </c>
      <c r="H4" s="96"/>
    </row>
    <row r="5" spans="1:10" ht="6.75" customHeight="1">
      <c r="A5" s="6"/>
      <c r="B5" s="6"/>
      <c r="C5" s="6"/>
      <c r="D5" s="6"/>
      <c r="E5" s="6"/>
      <c r="F5" s="6"/>
      <c r="G5" s="12"/>
      <c r="H5" s="6"/>
    </row>
    <row r="6" spans="1:10" ht="39">
      <c r="A6" s="13" t="s">
        <v>9</v>
      </c>
      <c r="B6" s="13" t="s">
        <v>10</v>
      </c>
      <c r="C6" s="14" t="s">
        <v>11</v>
      </c>
      <c r="D6" s="14" t="s">
        <v>12</v>
      </c>
      <c r="E6" s="14" t="s">
        <v>13</v>
      </c>
      <c r="F6" s="14" t="s">
        <v>14</v>
      </c>
      <c r="G6" s="15" t="s">
        <v>15</v>
      </c>
      <c r="H6" s="14" t="s">
        <v>16</v>
      </c>
    </row>
    <row r="7" spans="1:10" s="2" customFormat="1" ht="20.100000000000001" customHeight="1">
      <c r="A7" s="16">
        <v>1</v>
      </c>
      <c r="B7" s="17" t="s">
        <v>40</v>
      </c>
      <c r="C7" s="18">
        <v>2010</v>
      </c>
      <c r="D7" s="19">
        <v>1</v>
      </c>
      <c r="E7" s="20">
        <f>C7*D7</f>
        <v>2010</v>
      </c>
      <c r="F7" s="20">
        <v>0</v>
      </c>
      <c r="G7" s="21">
        <v>0</v>
      </c>
      <c r="H7" s="22"/>
      <c r="J7" s="23">
        <f t="shared" ref="J7:J18" si="0">E7+F7+G7</f>
        <v>2010</v>
      </c>
    </row>
    <row r="8" spans="1:10" s="2" customFormat="1" ht="20.100000000000001" customHeight="1">
      <c r="A8" s="16">
        <v>2</v>
      </c>
      <c r="B8" s="17"/>
      <c r="C8" s="18"/>
      <c r="D8" s="19"/>
      <c r="E8" s="20">
        <f>C8*D8</f>
        <v>0</v>
      </c>
      <c r="F8" s="20">
        <v>0</v>
      </c>
      <c r="G8" s="21">
        <v>0</v>
      </c>
      <c r="H8" s="24"/>
      <c r="J8" s="23">
        <f t="shared" si="0"/>
        <v>0</v>
      </c>
    </row>
    <row r="9" spans="1:10" s="2" customFormat="1" ht="20.100000000000001" customHeight="1">
      <c r="A9" s="16">
        <v>3</v>
      </c>
      <c r="B9" s="17"/>
      <c r="C9" s="18"/>
      <c r="D9" s="19"/>
      <c r="E9" s="20">
        <f>ROUND(C9*D9,0)</f>
        <v>0</v>
      </c>
      <c r="F9" s="20">
        <v>0</v>
      </c>
      <c r="G9" s="21">
        <f>C9-E9</f>
        <v>0</v>
      </c>
      <c r="H9" s="24"/>
      <c r="J9" s="23">
        <f t="shared" si="0"/>
        <v>0</v>
      </c>
    </row>
    <row r="10" spans="1:10" s="2" customFormat="1" ht="20.100000000000001" customHeight="1">
      <c r="A10" s="16">
        <v>4</v>
      </c>
      <c r="B10" s="17"/>
      <c r="C10" s="18"/>
      <c r="D10" s="19"/>
      <c r="E10" s="20">
        <f t="shared" ref="E10:E17" si="1">ROUND(C10*D10,0)</f>
        <v>0</v>
      </c>
      <c r="F10" s="20">
        <v>0</v>
      </c>
      <c r="G10" s="21">
        <f t="shared" ref="G10:G17" si="2">C10-E10-F10</f>
        <v>0</v>
      </c>
      <c r="H10" s="24"/>
      <c r="J10" s="23">
        <f t="shared" si="0"/>
        <v>0</v>
      </c>
    </row>
    <row r="11" spans="1:10" s="2" customFormat="1" ht="20.100000000000001" customHeight="1">
      <c r="A11" s="16">
        <v>5</v>
      </c>
      <c r="B11" s="17"/>
      <c r="C11" s="18"/>
      <c r="D11" s="19"/>
      <c r="E11" s="20">
        <f t="shared" si="1"/>
        <v>0</v>
      </c>
      <c r="F11" s="20">
        <v>0</v>
      </c>
      <c r="G11" s="21">
        <f t="shared" si="2"/>
        <v>0</v>
      </c>
      <c r="H11" s="25"/>
      <c r="J11" s="23">
        <f t="shared" si="0"/>
        <v>0</v>
      </c>
    </row>
    <row r="12" spans="1:10" s="2" customFormat="1" ht="20.100000000000001" customHeight="1">
      <c r="A12" s="16">
        <v>6</v>
      </c>
      <c r="B12" s="17"/>
      <c r="C12" s="18"/>
      <c r="D12" s="26"/>
      <c r="E12" s="20">
        <f t="shared" si="1"/>
        <v>0</v>
      </c>
      <c r="F12" s="20">
        <v>0</v>
      </c>
      <c r="G12" s="21">
        <f t="shared" si="2"/>
        <v>0</v>
      </c>
      <c r="H12" s="27"/>
      <c r="J12" s="23">
        <f t="shared" si="0"/>
        <v>0</v>
      </c>
    </row>
    <row r="13" spans="1:10" s="2" customFormat="1" ht="19.5" customHeight="1">
      <c r="A13" s="16">
        <v>7</v>
      </c>
      <c r="B13" s="17"/>
      <c r="C13" s="28"/>
      <c r="D13" s="29"/>
      <c r="E13" s="20">
        <f t="shared" si="1"/>
        <v>0</v>
      </c>
      <c r="F13" s="20">
        <v>0</v>
      </c>
      <c r="G13" s="21">
        <f t="shared" si="2"/>
        <v>0</v>
      </c>
      <c r="H13" s="30"/>
      <c r="J13" s="23">
        <f t="shared" si="0"/>
        <v>0</v>
      </c>
    </row>
    <row r="14" spans="1:10" s="2" customFormat="1" ht="19.5" customHeight="1">
      <c r="A14" s="16">
        <v>8</v>
      </c>
      <c r="B14" s="17"/>
      <c r="C14" s="28"/>
      <c r="D14" s="29"/>
      <c r="E14" s="20">
        <f t="shared" si="1"/>
        <v>0</v>
      </c>
      <c r="F14" s="20">
        <v>0</v>
      </c>
      <c r="G14" s="21">
        <f t="shared" si="2"/>
        <v>0</v>
      </c>
      <c r="H14" s="30"/>
      <c r="J14" s="23">
        <f t="shared" si="0"/>
        <v>0</v>
      </c>
    </row>
    <row r="15" spans="1:10" s="2" customFormat="1" ht="19.5" customHeight="1">
      <c r="A15" s="16">
        <v>9</v>
      </c>
      <c r="B15" s="93" t="s">
        <v>64</v>
      </c>
      <c r="C15" s="32"/>
      <c r="D15" s="33"/>
      <c r="E15" s="20">
        <f t="shared" si="1"/>
        <v>0</v>
      </c>
      <c r="F15" s="20">
        <v>0</v>
      </c>
      <c r="G15" s="21">
        <f t="shared" si="2"/>
        <v>0</v>
      </c>
      <c r="H15" s="30"/>
      <c r="J15" s="23">
        <f t="shared" si="0"/>
        <v>0</v>
      </c>
    </row>
    <row r="16" spans="1:10" s="2" customFormat="1" ht="19.5" customHeight="1">
      <c r="A16" s="16">
        <v>10</v>
      </c>
      <c r="B16" s="94" t="s">
        <v>65</v>
      </c>
      <c r="C16" s="35"/>
      <c r="D16" s="33"/>
      <c r="E16" s="20">
        <f t="shared" si="1"/>
        <v>0</v>
      </c>
      <c r="F16" s="20">
        <v>0</v>
      </c>
      <c r="G16" s="21">
        <f t="shared" si="2"/>
        <v>0</v>
      </c>
      <c r="H16" s="30"/>
      <c r="J16" s="23">
        <f t="shared" si="0"/>
        <v>0</v>
      </c>
    </row>
    <row r="17" spans="1:12" s="2" customFormat="1" ht="19.5" customHeight="1">
      <c r="A17" s="16">
        <v>11</v>
      </c>
      <c r="B17" s="94" t="s">
        <v>63</v>
      </c>
      <c r="C17" s="35"/>
      <c r="D17" s="33"/>
      <c r="E17" s="20">
        <f t="shared" si="1"/>
        <v>0</v>
      </c>
      <c r="F17" s="20">
        <v>0</v>
      </c>
      <c r="G17" s="21">
        <f t="shared" si="2"/>
        <v>0</v>
      </c>
      <c r="H17" s="30"/>
      <c r="J17" s="23">
        <f t="shared" si="0"/>
        <v>0</v>
      </c>
    </row>
    <row r="18" spans="1:12" ht="19.5">
      <c r="A18" s="13"/>
      <c r="B18" s="36" t="s">
        <v>17</v>
      </c>
      <c r="C18" s="37">
        <f>SUM(C7:C17)</f>
        <v>2010</v>
      </c>
      <c r="D18" s="37"/>
      <c r="E18" s="37">
        <f>SUM(E7:E17)</f>
        <v>2010</v>
      </c>
      <c r="F18" s="37">
        <f>SUM(F7:F9)</f>
        <v>0</v>
      </c>
      <c r="G18" s="37">
        <f>SUM(G7:G9)</f>
        <v>0</v>
      </c>
      <c r="H18" s="42"/>
      <c r="J18" s="43">
        <f t="shared" si="0"/>
        <v>2010</v>
      </c>
      <c r="L18" s="8" t="s">
        <v>18</v>
      </c>
    </row>
    <row r="19" spans="1:12" ht="9" customHeight="1">
      <c r="A19" s="44"/>
      <c r="B19" s="44"/>
      <c r="C19" s="44"/>
      <c r="D19" s="44"/>
      <c r="E19" s="44"/>
      <c r="F19" s="44"/>
      <c r="G19" s="44"/>
      <c r="H19" s="44"/>
    </row>
    <row r="20" spans="1:12" ht="15.75">
      <c r="A20" s="45" t="s">
        <v>19</v>
      </c>
      <c r="B20" s="45"/>
      <c r="C20" s="45"/>
      <c r="D20" s="45" t="s">
        <v>20</v>
      </c>
      <c r="E20" s="45"/>
      <c r="F20" s="45"/>
      <c r="G20" s="46"/>
      <c r="H20" s="45"/>
    </row>
    <row r="21" spans="1:12" ht="15.75">
      <c r="A21" s="45"/>
      <c r="B21" s="45"/>
      <c r="C21" s="45"/>
      <c r="D21" s="45"/>
      <c r="E21" s="45"/>
      <c r="F21" s="45"/>
      <c r="G21" s="47"/>
      <c r="H21" s="45"/>
    </row>
    <row r="22" spans="1:12" ht="15.75">
      <c r="A22" s="45"/>
      <c r="B22" s="45"/>
      <c r="C22" s="45"/>
      <c r="D22" s="45"/>
      <c r="E22" s="45"/>
      <c r="F22" s="45"/>
      <c r="G22" s="48"/>
      <c r="H22" s="45"/>
    </row>
    <row r="23" spans="1:12" ht="15.75">
      <c r="A23" s="49" t="s">
        <v>37</v>
      </c>
      <c r="C23" s="45"/>
      <c r="D23" s="49" t="s">
        <v>21</v>
      </c>
      <c r="F23" s="49"/>
      <c r="G23" s="49"/>
    </row>
    <row r="24" spans="1:12" ht="15.75">
      <c r="A24" s="50" t="s">
        <v>35</v>
      </c>
      <c r="C24" s="50"/>
      <c r="D24" s="50" t="s">
        <v>42</v>
      </c>
      <c r="F24" s="50"/>
      <c r="G24" s="50"/>
    </row>
    <row r="25" spans="1:12">
      <c r="A25" s="51"/>
      <c r="B25" s="51"/>
      <c r="C25" s="51"/>
      <c r="D25" s="51"/>
      <c r="E25" s="51"/>
      <c r="F25" s="51"/>
      <c r="G25" s="52"/>
      <c r="H25" s="51"/>
    </row>
    <row r="26" spans="1:12" s="1" customFormat="1" ht="23.25" hidden="1">
      <c r="A26" s="97" t="s">
        <v>0</v>
      </c>
      <c r="B26" s="97"/>
      <c r="C26" s="97"/>
      <c r="D26" s="97"/>
      <c r="E26" s="97"/>
      <c r="F26" s="97"/>
      <c r="G26" s="97"/>
      <c r="H26" s="97"/>
    </row>
    <row r="27" spans="1:12" s="1" customFormat="1" ht="21" hidden="1">
      <c r="A27" s="4"/>
      <c r="B27" s="5" t="s">
        <v>1</v>
      </c>
      <c r="C27" s="98" t="str">
        <f>C2</f>
        <v>DENSO</v>
      </c>
      <c r="D27" s="98"/>
      <c r="E27" s="5" t="s">
        <v>3</v>
      </c>
      <c r="F27" s="5"/>
      <c r="G27" s="103">
        <f>G2</f>
        <v>46209</v>
      </c>
      <c r="H27" s="103"/>
    </row>
    <row r="28" spans="1:12" ht="19.5" hidden="1">
      <c r="A28" s="6"/>
      <c r="B28" s="5" t="s">
        <v>4</v>
      </c>
      <c r="C28" s="100" t="str">
        <f>C3</f>
        <v>M-R4A-2026-07-629252</v>
      </c>
      <c r="D28" s="104"/>
      <c r="E28" s="5" t="s">
        <v>5</v>
      </c>
      <c r="F28" s="7"/>
      <c r="G28" s="101"/>
      <c r="H28" s="101"/>
    </row>
    <row r="29" spans="1:12" ht="19.5" hidden="1">
      <c r="A29" s="6"/>
      <c r="B29" s="5" t="s">
        <v>6</v>
      </c>
      <c r="C29" s="9">
        <f>C4</f>
        <v>2010</v>
      </c>
      <c r="D29" s="10" t="s">
        <v>7</v>
      </c>
      <c r="E29" s="5" t="s">
        <v>8</v>
      </c>
      <c r="F29" s="11"/>
      <c r="G29" s="101"/>
      <c r="H29" s="101"/>
    </row>
    <row r="30" spans="1:12" ht="19.5" hidden="1">
      <c r="A30" s="6"/>
      <c r="B30" s="6"/>
      <c r="C30" s="6"/>
      <c r="D30" s="6"/>
      <c r="E30" s="6"/>
      <c r="F30" s="6"/>
      <c r="G30" s="12"/>
      <c r="H30" s="6"/>
    </row>
    <row r="31" spans="1:12" ht="39" hidden="1">
      <c r="A31" s="13" t="s">
        <v>9</v>
      </c>
      <c r="B31" s="13" t="s">
        <v>10</v>
      </c>
      <c r="C31" s="14" t="s">
        <v>11</v>
      </c>
      <c r="D31" s="14" t="s">
        <v>12</v>
      </c>
      <c r="E31" s="14" t="s">
        <v>13</v>
      </c>
      <c r="F31" s="14" t="s">
        <v>14</v>
      </c>
      <c r="G31" s="15" t="s">
        <v>15</v>
      </c>
      <c r="H31" s="14" t="s">
        <v>16</v>
      </c>
    </row>
    <row r="32" spans="1:12" s="2" customFormat="1" ht="20.100000000000001" hidden="1" customHeight="1">
      <c r="A32" s="53">
        <v>1</v>
      </c>
      <c r="B32" s="54" t="s">
        <v>22</v>
      </c>
      <c r="C32" s="55">
        <v>566</v>
      </c>
      <c r="D32" s="56">
        <v>1</v>
      </c>
      <c r="E32" s="57">
        <v>0</v>
      </c>
      <c r="F32" s="57">
        <f>C32*D32</f>
        <v>566</v>
      </c>
      <c r="G32" s="57">
        <f>C32-E32-F32</f>
        <v>0</v>
      </c>
      <c r="H32" s="58"/>
    </row>
    <row r="33" spans="1:8" s="2" customFormat="1" ht="20.100000000000001" hidden="1" customHeight="1">
      <c r="A33" s="53">
        <v>2</v>
      </c>
      <c r="B33" s="54"/>
      <c r="C33" s="55"/>
      <c r="D33" s="59"/>
      <c r="E33" s="57"/>
      <c r="F33" s="57"/>
      <c r="G33" s="57"/>
      <c r="H33" s="60"/>
    </row>
    <row r="34" spans="1:8" s="2" customFormat="1" ht="20.100000000000001" hidden="1" customHeight="1">
      <c r="A34" s="53">
        <v>3</v>
      </c>
      <c r="B34" s="61"/>
      <c r="C34" s="55"/>
      <c r="D34" s="62"/>
      <c r="E34" s="63"/>
      <c r="F34" s="63"/>
      <c r="G34" s="63"/>
      <c r="H34" s="60"/>
    </row>
    <row r="35" spans="1:8" s="2" customFormat="1" ht="20.100000000000001" hidden="1" customHeight="1">
      <c r="A35" s="53">
        <v>4</v>
      </c>
      <c r="B35" s="54"/>
      <c r="C35" s="64"/>
      <c r="D35" s="62"/>
      <c r="E35" s="63"/>
      <c r="F35" s="63"/>
      <c r="G35" s="63"/>
      <c r="H35" s="60"/>
    </row>
    <row r="36" spans="1:8" s="2" customFormat="1" ht="20.100000000000001" hidden="1" customHeight="1">
      <c r="A36" s="53">
        <v>5</v>
      </c>
      <c r="B36" s="54"/>
      <c r="C36" s="64"/>
      <c r="D36" s="62"/>
      <c r="E36" s="63"/>
      <c r="F36" s="63"/>
      <c r="G36" s="63"/>
      <c r="H36" s="60"/>
    </row>
    <row r="37" spans="1:8" s="2" customFormat="1" ht="20.100000000000001" hidden="1" customHeight="1">
      <c r="A37" s="53">
        <v>6</v>
      </c>
      <c r="B37" s="65"/>
      <c r="C37" s="66"/>
      <c r="D37" s="67"/>
      <c r="E37" s="63"/>
      <c r="F37" s="63"/>
      <c r="G37" s="63"/>
      <c r="H37" s="60"/>
    </row>
    <row r="38" spans="1:8" s="2" customFormat="1" ht="20.100000000000001" hidden="1" customHeight="1">
      <c r="A38" s="53">
        <v>7</v>
      </c>
      <c r="B38" s="68"/>
      <c r="C38" s="66"/>
      <c r="D38" s="67"/>
      <c r="E38" s="63"/>
      <c r="F38" s="63"/>
      <c r="G38" s="63"/>
      <c r="H38" s="60"/>
    </row>
    <row r="39" spans="1:8" s="2" customFormat="1" ht="20.100000000000001" hidden="1" customHeight="1">
      <c r="A39" s="53">
        <v>8</v>
      </c>
      <c r="B39" s="65"/>
      <c r="C39" s="66"/>
      <c r="D39" s="67"/>
      <c r="E39" s="63"/>
      <c r="F39" s="63"/>
      <c r="G39" s="63"/>
      <c r="H39" s="60"/>
    </row>
    <row r="40" spans="1:8" s="2" customFormat="1" ht="20.100000000000001" hidden="1" customHeight="1">
      <c r="A40" s="53">
        <v>9</v>
      </c>
      <c r="B40" s="65"/>
      <c r="C40" s="66"/>
      <c r="D40" s="67"/>
      <c r="E40" s="63"/>
      <c r="F40" s="63"/>
      <c r="G40" s="63"/>
      <c r="H40" s="60"/>
    </row>
    <row r="41" spans="1:8" s="2" customFormat="1" ht="20.100000000000001" hidden="1" customHeight="1">
      <c r="A41" s="53">
        <v>10</v>
      </c>
      <c r="B41" s="65"/>
      <c r="C41" s="66"/>
      <c r="D41" s="67"/>
      <c r="E41" s="63"/>
      <c r="F41" s="63"/>
      <c r="G41" s="63"/>
      <c r="H41" s="69"/>
    </row>
    <row r="42" spans="1:8" ht="19.5" hidden="1">
      <c r="A42" s="13"/>
      <c r="B42" s="36" t="s">
        <v>17</v>
      </c>
      <c r="C42" s="37">
        <f t="shared" ref="C42:G42" si="3">SUM(C32:C41)</f>
        <v>566</v>
      </c>
      <c r="D42" s="38"/>
      <c r="E42" s="39">
        <f t="shared" si="3"/>
        <v>0</v>
      </c>
      <c r="F42" s="40">
        <f t="shared" si="3"/>
        <v>566</v>
      </c>
      <c r="G42" s="41">
        <f t="shared" si="3"/>
        <v>0</v>
      </c>
      <c r="H42" s="42"/>
    </row>
    <row r="43" spans="1:8" hidden="1"/>
    <row r="44" spans="1:8" ht="15.75" hidden="1">
      <c r="A44" s="45" t="s">
        <v>19</v>
      </c>
      <c r="B44" s="45"/>
      <c r="C44" s="45"/>
      <c r="D44" s="70" t="s">
        <v>23</v>
      </c>
      <c r="E44" s="45"/>
      <c r="F44" s="45"/>
      <c r="G44" s="46" t="s">
        <v>24</v>
      </c>
      <c r="H44" s="45"/>
    </row>
    <row r="45" spans="1:8" ht="15.75" hidden="1">
      <c r="A45" s="45"/>
      <c r="B45" s="45"/>
      <c r="C45" s="45"/>
      <c r="D45" s="71"/>
      <c r="E45" s="45"/>
      <c r="F45" s="45"/>
      <c r="G45" s="47"/>
      <c r="H45" s="45"/>
    </row>
    <row r="46" spans="1:8" ht="15.75" hidden="1">
      <c r="A46" s="45"/>
      <c r="B46" s="45"/>
      <c r="C46" s="45"/>
      <c r="D46" s="45"/>
      <c r="E46" s="45"/>
      <c r="F46" s="45"/>
      <c r="G46" s="48"/>
      <c r="H46" s="45"/>
    </row>
    <row r="47" spans="1:8" ht="15.75" hidden="1">
      <c r="A47" s="72" t="str">
        <f>A23</f>
        <v>PRINCE JOHN JOHAN ARAGON</v>
      </c>
      <c r="C47" s="45"/>
      <c r="D47" s="49" t="s">
        <v>21</v>
      </c>
      <c r="F47" s="49"/>
      <c r="G47" s="49" t="s">
        <v>25</v>
      </c>
    </row>
    <row r="48" spans="1:8" ht="15.75" hidden="1">
      <c r="A48" s="73" t="str">
        <f>A24</f>
        <v>Documentation Staff</v>
      </c>
      <c r="C48" s="50"/>
      <c r="D48" s="50" t="s">
        <v>26</v>
      </c>
      <c r="F48" s="50"/>
      <c r="G48" s="50" t="s">
        <v>27</v>
      </c>
    </row>
    <row r="49" spans="1:8" ht="15.75" hidden="1">
      <c r="A49" s="45"/>
      <c r="B49" s="45"/>
      <c r="C49" s="45"/>
      <c r="D49" s="45"/>
      <c r="E49" s="45"/>
      <c r="F49" s="45"/>
      <c r="G49" s="48"/>
      <c r="H49" s="45"/>
    </row>
    <row r="50" spans="1:8" hidden="1"/>
    <row r="51" spans="1:8" hidden="1">
      <c r="G51" s="74"/>
    </row>
    <row r="52" spans="1:8" hidden="1">
      <c r="G52" s="74"/>
    </row>
    <row r="53" spans="1:8" ht="23.25">
      <c r="A53" s="105"/>
      <c r="B53" s="105"/>
      <c r="C53" s="105"/>
      <c r="D53" s="105"/>
      <c r="E53" s="105"/>
      <c r="F53" s="105"/>
      <c r="G53" s="105"/>
      <c r="H53" s="105"/>
    </row>
    <row r="54" spans="1:8" ht="18.75">
      <c r="A54" s="75"/>
      <c r="B54" s="76"/>
      <c r="C54" s="77"/>
      <c r="D54" s="78"/>
      <c r="E54" s="79"/>
      <c r="F54" s="79"/>
      <c r="G54" s="79"/>
      <c r="H54" s="80"/>
    </row>
    <row r="55" spans="1:8" ht="18.75">
      <c r="A55" s="75"/>
      <c r="B55" s="76"/>
      <c r="C55" s="77"/>
      <c r="D55" s="78"/>
      <c r="E55" s="79" t="s">
        <v>38</v>
      </c>
      <c r="F55" s="79"/>
      <c r="G55" s="79"/>
      <c r="H55" s="80"/>
    </row>
    <row r="56" spans="1:8" ht="18.75">
      <c r="A56" s="75"/>
      <c r="B56" s="76"/>
      <c r="C56" s="77"/>
      <c r="D56" s="78"/>
      <c r="E56" s="79"/>
      <c r="F56" s="79"/>
      <c r="G56" s="79"/>
      <c r="H56" s="80"/>
    </row>
    <row r="57" spans="1:8" ht="18.75">
      <c r="A57" s="75"/>
      <c r="B57" s="76"/>
      <c r="C57" s="77"/>
      <c r="D57" s="78"/>
      <c r="E57" s="79"/>
      <c r="F57" s="79"/>
      <c r="G57" s="79"/>
      <c r="H57" s="80"/>
    </row>
    <row r="58" spans="1:8" ht="18.75">
      <c r="A58" s="75"/>
      <c r="B58" s="76"/>
      <c r="C58" s="77"/>
      <c r="D58" s="78"/>
      <c r="E58" s="79"/>
      <c r="F58" s="79"/>
      <c r="G58" s="79"/>
      <c r="H58" s="80"/>
    </row>
    <row r="59" spans="1:8" ht="18.75">
      <c r="A59" s="75"/>
      <c r="B59" s="81"/>
      <c r="C59" s="77"/>
      <c r="D59" s="78"/>
      <c r="E59" s="79"/>
      <c r="F59" s="79"/>
      <c r="G59" s="79"/>
      <c r="H59" s="82"/>
    </row>
    <row r="60" spans="1:8" ht="18.75">
      <c r="A60" s="75"/>
      <c r="B60" s="106"/>
      <c r="C60" s="106"/>
      <c r="D60" s="106"/>
      <c r="E60" s="79"/>
      <c r="F60" s="79"/>
      <c r="G60" s="79"/>
      <c r="H60" s="82"/>
    </row>
    <row r="61" spans="1:8" ht="18.75">
      <c r="A61" s="75"/>
      <c r="B61" s="107"/>
      <c r="C61" s="107"/>
      <c r="D61" s="107"/>
      <c r="E61" s="79"/>
      <c r="F61" s="79"/>
      <c r="G61" s="79"/>
      <c r="H61" s="82"/>
    </row>
    <row r="62" spans="1:8" ht="18.75">
      <c r="A62" s="75"/>
      <c r="B62" s="108"/>
      <c r="C62" s="108"/>
      <c r="D62" s="108"/>
      <c r="E62" s="79"/>
      <c r="F62" s="79"/>
      <c r="G62" s="79"/>
      <c r="H62" s="82"/>
    </row>
    <row r="63" spans="1:8" ht="18.75">
      <c r="A63" s="75"/>
      <c r="B63" s="109"/>
      <c r="C63" s="109"/>
      <c r="D63" s="109"/>
      <c r="E63" s="79"/>
      <c r="F63" s="79"/>
      <c r="G63" s="79"/>
      <c r="H63" s="83"/>
    </row>
    <row r="64" spans="1:8" ht="19.5">
      <c r="A64" s="84"/>
      <c r="B64" s="85"/>
      <c r="C64" s="86"/>
      <c r="D64" s="87"/>
      <c r="E64" s="88"/>
      <c r="F64" s="89"/>
      <c r="G64" s="90"/>
      <c r="H64" s="91"/>
    </row>
    <row r="65" spans="1:8" ht="17.25">
      <c r="A65" s="102"/>
      <c r="B65" s="102"/>
      <c r="C65" s="102"/>
      <c r="D65" s="102"/>
      <c r="E65" s="102"/>
      <c r="F65" s="102"/>
      <c r="G65" s="102"/>
      <c r="H65" s="102"/>
    </row>
    <row r="66" spans="1:8" ht="15.75">
      <c r="A66" s="45"/>
      <c r="B66" s="45"/>
      <c r="C66" s="45"/>
      <c r="D66" s="45"/>
      <c r="E66" s="45"/>
      <c r="F66" s="45"/>
      <c r="G66" s="92"/>
      <c r="H66" s="45"/>
    </row>
    <row r="67" spans="1:8" ht="15.75">
      <c r="A67" s="45"/>
      <c r="B67" s="45"/>
      <c r="C67" s="45"/>
      <c r="D67" s="45"/>
      <c r="E67" s="45"/>
      <c r="F67" s="45"/>
      <c r="G67" s="47"/>
      <c r="H67" s="45"/>
    </row>
    <row r="68" spans="1:8" ht="15.75">
      <c r="A68" s="45"/>
      <c r="B68" s="45"/>
      <c r="C68" s="45"/>
      <c r="D68" s="45"/>
      <c r="E68" s="45"/>
      <c r="F68" s="45"/>
      <c r="G68" s="48"/>
      <c r="H68" s="45"/>
    </row>
    <row r="69" spans="1:8" ht="15.75">
      <c r="A69" s="49"/>
      <c r="C69" s="45"/>
      <c r="D69" s="49"/>
      <c r="F69" s="49"/>
      <c r="G69" s="49"/>
    </row>
    <row r="70" spans="1:8" ht="15.75">
      <c r="A70" s="50"/>
      <c r="C70" s="50"/>
      <c r="D70" s="50"/>
      <c r="F70" s="50"/>
      <c r="G70" s="50"/>
    </row>
    <row r="71" spans="1:8">
      <c r="A71" s="51"/>
      <c r="B71" s="51"/>
      <c r="C71" s="51"/>
      <c r="D71" s="51"/>
      <c r="E71" s="51"/>
      <c r="F71" s="51"/>
      <c r="G71" s="52"/>
      <c r="H71" s="51"/>
    </row>
  </sheetData>
  <mergeCells count="18">
    <mergeCell ref="A65:H65"/>
    <mergeCell ref="A26:H26"/>
    <mergeCell ref="C27:D27"/>
    <mergeCell ref="G27:H27"/>
    <mergeCell ref="C28:D28"/>
    <mergeCell ref="G28:H28"/>
    <mergeCell ref="G29:H29"/>
    <mergeCell ref="A53:H53"/>
    <mergeCell ref="B60:D60"/>
    <mergeCell ref="B61:D61"/>
    <mergeCell ref="B62:D62"/>
    <mergeCell ref="B63:D63"/>
    <mergeCell ref="G4:H4"/>
    <mergeCell ref="A1:H1"/>
    <mergeCell ref="C2:D2"/>
    <mergeCell ref="G2:H2"/>
    <mergeCell ref="C3:D3"/>
    <mergeCell ref="G3:H3"/>
  </mergeCells>
  <printOptions horizontalCentered="1"/>
  <pageMargins left="0" right="0" top="0.196850393700787" bottom="0" header="0" footer="0"/>
  <pageSetup paperSize="9" scale="8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117EE-E11D-48F5-BDE2-23E39D0DBE78}">
  <sheetPr codeName="Sheet10">
    <pageSetUpPr fitToPage="1"/>
  </sheetPr>
  <dimension ref="A1:L71"/>
  <sheetViews>
    <sheetView view="pageBreakPreview" zoomScale="85" zoomScaleNormal="70" zoomScaleSheetLayoutView="85" workbookViewId="0">
      <selection activeCell="C9" sqref="C9"/>
    </sheetView>
  </sheetViews>
  <sheetFormatPr defaultColWidth="9" defaultRowHeight="15"/>
  <cols>
    <col min="1" max="1" width="5.7109375" customWidth="1"/>
    <col min="2" max="2" width="31.42578125" customWidth="1"/>
    <col min="3" max="3" width="15.85546875" customWidth="1"/>
    <col min="4" max="4" width="14.140625" customWidth="1"/>
    <col min="5" max="5" width="15.140625" customWidth="1"/>
    <col min="6" max="6" width="14.5703125" customWidth="1"/>
    <col min="7" max="7" width="14.42578125" style="3" customWidth="1"/>
    <col min="8" max="8" width="15.42578125" customWidth="1"/>
    <col min="10" max="10" width="14.85546875" customWidth="1"/>
  </cols>
  <sheetData>
    <row r="1" spans="1:10" s="1" customFormat="1" ht="23.25">
      <c r="A1" s="97" t="s">
        <v>0</v>
      </c>
      <c r="B1" s="97"/>
      <c r="C1" s="97"/>
      <c r="D1" s="97"/>
      <c r="E1" s="97"/>
      <c r="F1" s="97"/>
      <c r="G1" s="97"/>
      <c r="H1" s="97"/>
    </row>
    <row r="2" spans="1:10" s="1" customFormat="1" ht="21">
      <c r="A2" s="4"/>
      <c r="B2" s="5" t="s">
        <v>1</v>
      </c>
      <c r="C2" s="98" t="s">
        <v>61</v>
      </c>
      <c r="D2" s="98"/>
      <c r="E2" s="5" t="s">
        <v>3</v>
      </c>
      <c r="F2" s="5"/>
      <c r="G2" s="99">
        <v>46209</v>
      </c>
      <c r="H2" s="99"/>
    </row>
    <row r="3" spans="1:10" ht="19.5">
      <c r="A3" s="6"/>
      <c r="B3" s="5" t="s">
        <v>4</v>
      </c>
      <c r="C3" s="100" t="s">
        <v>62</v>
      </c>
      <c r="D3" s="100"/>
      <c r="E3" s="5" t="s">
        <v>5</v>
      </c>
      <c r="F3" s="7"/>
      <c r="G3" s="101" t="s">
        <v>30</v>
      </c>
      <c r="H3" s="101"/>
      <c r="J3" s="8"/>
    </row>
    <row r="4" spans="1:10" ht="19.5">
      <c r="A4" s="6"/>
      <c r="B4" s="5" t="s">
        <v>6</v>
      </c>
      <c r="C4" s="9">
        <f>C18</f>
        <v>2007</v>
      </c>
      <c r="D4" s="10" t="s">
        <v>7</v>
      </c>
      <c r="E4" s="5" t="s">
        <v>8</v>
      </c>
      <c r="F4" s="11"/>
      <c r="G4" s="95">
        <v>15467</v>
      </c>
      <c r="H4" s="96"/>
    </row>
    <row r="5" spans="1:10" ht="6.75" customHeight="1">
      <c r="A5" s="6"/>
      <c r="B5" s="6"/>
      <c r="C5" s="6"/>
      <c r="D5" s="6"/>
      <c r="E5" s="6"/>
      <c r="F5" s="6"/>
      <c r="G5" s="12"/>
      <c r="H5" s="6"/>
    </row>
    <row r="6" spans="1:10" ht="39">
      <c r="A6" s="13" t="s">
        <v>9</v>
      </c>
      <c r="B6" s="13" t="s">
        <v>10</v>
      </c>
      <c r="C6" s="14" t="s">
        <v>11</v>
      </c>
      <c r="D6" s="14" t="s">
        <v>12</v>
      </c>
      <c r="E6" s="14" t="s">
        <v>13</v>
      </c>
      <c r="F6" s="14" t="s">
        <v>14</v>
      </c>
      <c r="G6" s="15" t="s">
        <v>15</v>
      </c>
      <c r="H6" s="14" t="s">
        <v>16</v>
      </c>
    </row>
    <row r="7" spans="1:10" s="2" customFormat="1" ht="20.100000000000001" customHeight="1">
      <c r="A7" s="16">
        <v>1</v>
      </c>
      <c r="B7" s="17" t="s">
        <v>40</v>
      </c>
      <c r="C7" s="18">
        <v>2007</v>
      </c>
      <c r="D7" s="19">
        <v>1</v>
      </c>
      <c r="E7" s="20">
        <f>C7*D7</f>
        <v>2007</v>
      </c>
      <c r="F7" s="20">
        <v>0</v>
      </c>
      <c r="G7" s="21">
        <v>0</v>
      </c>
      <c r="H7" s="22"/>
      <c r="J7" s="23">
        <f t="shared" ref="J7:J18" si="0">E7+F7+G7</f>
        <v>2007</v>
      </c>
    </row>
    <row r="8" spans="1:10" s="2" customFormat="1" ht="20.100000000000001" customHeight="1">
      <c r="A8" s="16">
        <v>2</v>
      </c>
      <c r="B8" s="17"/>
      <c r="C8" s="18"/>
      <c r="D8" s="19"/>
      <c r="E8" s="20">
        <f>C8*D8</f>
        <v>0</v>
      </c>
      <c r="F8" s="20">
        <v>0</v>
      </c>
      <c r="G8" s="21">
        <v>0</v>
      </c>
      <c r="H8" s="24"/>
      <c r="J8" s="23">
        <f t="shared" si="0"/>
        <v>0</v>
      </c>
    </row>
    <row r="9" spans="1:10" s="2" customFormat="1" ht="20.100000000000001" customHeight="1">
      <c r="A9" s="16">
        <v>3</v>
      </c>
      <c r="B9" s="17"/>
      <c r="C9" s="18"/>
      <c r="D9" s="19"/>
      <c r="E9" s="20">
        <f>ROUND(C9*D9,0)</f>
        <v>0</v>
      </c>
      <c r="F9" s="20">
        <v>0</v>
      </c>
      <c r="G9" s="21">
        <f>C9-E9</f>
        <v>0</v>
      </c>
      <c r="H9" s="24"/>
      <c r="J9" s="23">
        <f t="shared" si="0"/>
        <v>0</v>
      </c>
    </row>
    <row r="10" spans="1:10" s="2" customFormat="1" ht="20.100000000000001" customHeight="1">
      <c r="A10" s="16">
        <v>4</v>
      </c>
      <c r="B10" s="17"/>
      <c r="C10" s="18"/>
      <c r="D10" s="19"/>
      <c r="E10" s="20">
        <f t="shared" ref="E10:E17" si="1">ROUND(C10*D10,0)</f>
        <v>0</v>
      </c>
      <c r="F10" s="20">
        <v>0</v>
      </c>
      <c r="G10" s="21">
        <f t="shared" ref="G10:G17" si="2">C10-E10-F10</f>
        <v>0</v>
      </c>
      <c r="H10" s="24"/>
      <c r="J10" s="23">
        <f t="shared" si="0"/>
        <v>0</v>
      </c>
    </row>
    <row r="11" spans="1:10" s="2" customFormat="1" ht="20.100000000000001" customHeight="1">
      <c r="A11" s="16">
        <v>5</v>
      </c>
      <c r="B11" s="17"/>
      <c r="C11" s="18"/>
      <c r="D11" s="19"/>
      <c r="E11" s="20">
        <f t="shared" si="1"/>
        <v>0</v>
      </c>
      <c r="F11" s="20">
        <v>0</v>
      </c>
      <c r="G11" s="21">
        <f t="shared" si="2"/>
        <v>0</v>
      </c>
      <c r="H11" s="25"/>
      <c r="J11" s="23">
        <f t="shared" si="0"/>
        <v>0</v>
      </c>
    </row>
    <row r="12" spans="1:10" s="2" customFormat="1" ht="20.100000000000001" customHeight="1">
      <c r="A12" s="16">
        <v>6</v>
      </c>
      <c r="B12" s="17"/>
      <c r="C12" s="18"/>
      <c r="D12" s="26"/>
      <c r="E12" s="20">
        <f t="shared" si="1"/>
        <v>0</v>
      </c>
      <c r="F12" s="20">
        <v>0</v>
      </c>
      <c r="G12" s="21">
        <f t="shared" si="2"/>
        <v>0</v>
      </c>
      <c r="H12" s="27"/>
      <c r="J12" s="23">
        <f t="shared" si="0"/>
        <v>0</v>
      </c>
    </row>
    <row r="13" spans="1:10" s="2" customFormat="1" ht="19.5" customHeight="1">
      <c r="A13" s="16">
        <v>7</v>
      </c>
      <c r="B13" s="17"/>
      <c r="C13" s="28"/>
      <c r="D13" s="29"/>
      <c r="E13" s="20">
        <f t="shared" si="1"/>
        <v>0</v>
      </c>
      <c r="F13" s="20">
        <v>0</v>
      </c>
      <c r="G13" s="21">
        <f t="shared" si="2"/>
        <v>0</v>
      </c>
      <c r="H13" s="30"/>
      <c r="J13" s="23">
        <f t="shared" si="0"/>
        <v>0</v>
      </c>
    </row>
    <row r="14" spans="1:10" s="2" customFormat="1" ht="19.5" customHeight="1">
      <c r="A14" s="16">
        <v>8</v>
      </c>
      <c r="B14" s="17"/>
      <c r="C14" s="28"/>
      <c r="D14" s="29"/>
      <c r="E14" s="20">
        <f t="shared" si="1"/>
        <v>0</v>
      </c>
      <c r="F14" s="20">
        <v>0</v>
      </c>
      <c r="G14" s="21">
        <f t="shared" si="2"/>
        <v>0</v>
      </c>
      <c r="H14" s="30"/>
      <c r="J14" s="23">
        <f t="shared" si="0"/>
        <v>0</v>
      </c>
    </row>
    <row r="15" spans="1:10" s="2" customFormat="1" ht="19.5" customHeight="1">
      <c r="A15" s="16">
        <v>9</v>
      </c>
      <c r="B15" s="93" t="s">
        <v>67</v>
      </c>
      <c r="C15" s="32"/>
      <c r="D15" s="33"/>
      <c r="E15" s="20">
        <f t="shared" si="1"/>
        <v>0</v>
      </c>
      <c r="F15" s="20">
        <v>0</v>
      </c>
      <c r="G15" s="21">
        <f t="shared" si="2"/>
        <v>0</v>
      </c>
      <c r="H15" s="30"/>
      <c r="J15" s="23">
        <f t="shared" si="0"/>
        <v>0</v>
      </c>
    </row>
    <row r="16" spans="1:10" s="2" customFormat="1" ht="19.5" customHeight="1">
      <c r="A16" s="16">
        <v>10</v>
      </c>
      <c r="B16" s="94" t="s">
        <v>65</v>
      </c>
      <c r="C16" s="35"/>
      <c r="D16" s="33"/>
      <c r="E16" s="20">
        <f t="shared" si="1"/>
        <v>0</v>
      </c>
      <c r="F16" s="20">
        <v>0</v>
      </c>
      <c r="G16" s="21">
        <f t="shared" si="2"/>
        <v>0</v>
      </c>
      <c r="H16" s="30"/>
      <c r="J16" s="23">
        <f t="shared" si="0"/>
        <v>0</v>
      </c>
    </row>
    <row r="17" spans="1:12" s="2" customFormat="1" ht="19.5" customHeight="1">
      <c r="A17" s="16">
        <v>11</v>
      </c>
      <c r="B17" s="94" t="s">
        <v>63</v>
      </c>
      <c r="C17" s="35"/>
      <c r="D17" s="33"/>
      <c r="E17" s="20">
        <f t="shared" si="1"/>
        <v>0</v>
      </c>
      <c r="F17" s="20">
        <v>0</v>
      </c>
      <c r="G17" s="21">
        <f t="shared" si="2"/>
        <v>0</v>
      </c>
      <c r="H17" s="30"/>
      <c r="J17" s="23">
        <f t="shared" si="0"/>
        <v>0</v>
      </c>
    </row>
    <row r="18" spans="1:12" ht="19.5">
      <c r="A18" s="13"/>
      <c r="B18" s="36" t="s">
        <v>17</v>
      </c>
      <c r="C18" s="37">
        <f>SUM(C7:C17)</f>
        <v>2007</v>
      </c>
      <c r="D18" s="37"/>
      <c r="E18" s="37">
        <f>SUM(E7:E17)</f>
        <v>2007</v>
      </c>
      <c r="F18" s="37">
        <f>SUM(F7:F9)</f>
        <v>0</v>
      </c>
      <c r="G18" s="37">
        <f>SUM(G7:G9)</f>
        <v>0</v>
      </c>
      <c r="H18" s="42"/>
      <c r="J18" s="43">
        <f t="shared" si="0"/>
        <v>2007</v>
      </c>
      <c r="L18" s="8" t="s">
        <v>18</v>
      </c>
    </row>
    <row r="19" spans="1:12" ht="9" customHeight="1">
      <c r="A19" s="44"/>
      <c r="B19" s="44"/>
      <c r="C19" s="44"/>
      <c r="D19" s="44"/>
      <c r="E19" s="44"/>
      <c r="F19" s="44"/>
      <c r="G19" s="44"/>
      <c r="H19" s="44"/>
    </row>
    <row r="20" spans="1:12" ht="15.75">
      <c r="A20" s="45" t="s">
        <v>19</v>
      </c>
      <c r="B20" s="45"/>
      <c r="C20" s="45"/>
      <c r="D20" s="45" t="s">
        <v>20</v>
      </c>
      <c r="E20" s="45"/>
      <c r="F20" s="45"/>
      <c r="G20" s="46"/>
      <c r="H20" s="45"/>
    </row>
    <row r="21" spans="1:12" ht="15.75">
      <c r="A21" s="45"/>
      <c r="B21" s="45"/>
      <c r="C21" s="45"/>
      <c r="D21" s="45"/>
      <c r="E21" s="45"/>
      <c r="F21" s="45"/>
      <c r="G21" s="47"/>
      <c r="H21" s="45"/>
    </row>
    <row r="22" spans="1:12" ht="15.75">
      <c r="A22" s="45"/>
      <c r="B22" s="45"/>
      <c r="C22" s="45"/>
      <c r="D22" s="45"/>
      <c r="E22" s="45"/>
      <c r="F22" s="45"/>
      <c r="G22" s="48"/>
      <c r="H22" s="45"/>
    </row>
    <row r="23" spans="1:12" ht="15.75">
      <c r="A23" s="49" t="s">
        <v>37</v>
      </c>
      <c r="C23" s="45"/>
      <c r="D23" s="49" t="s">
        <v>21</v>
      </c>
      <c r="F23" s="49"/>
      <c r="G23" s="49"/>
    </row>
    <row r="24" spans="1:12" ht="15.75">
      <c r="A24" s="50" t="s">
        <v>35</v>
      </c>
      <c r="C24" s="50"/>
      <c r="D24" s="50" t="s">
        <v>42</v>
      </c>
      <c r="F24" s="50"/>
      <c r="G24" s="50"/>
    </row>
    <row r="25" spans="1:12">
      <c r="A25" s="51"/>
      <c r="B25" s="51"/>
      <c r="C25" s="51"/>
      <c r="D25" s="51"/>
      <c r="E25" s="51"/>
      <c r="F25" s="51"/>
      <c r="G25" s="52"/>
      <c r="H25" s="51"/>
    </row>
    <row r="26" spans="1:12" s="1" customFormat="1" ht="23.25" hidden="1">
      <c r="A26" s="97" t="s">
        <v>0</v>
      </c>
      <c r="B26" s="97"/>
      <c r="C26" s="97"/>
      <c r="D26" s="97"/>
      <c r="E26" s="97"/>
      <c r="F26" s="97"/>
      <c r="G26" s="97"/>
      <c r="H26" s="97"/>
    </row>
    <row r="27" spans="1:12" s="1" customFormat="1" ht="21" hidden="1">
      <c r="A27" s="4"/>
      <c r="B27" s="5" t="s">
        <v>1</v>
      </c>
      <c r="C27" s="98" t="str">
        <f>C2</f>
        <v>DENSO</v>
      </c>
      <c r="D27" s="98"/>
      <c r="E27" s="5" t="s">
        <v>3</v>
      </c>
      <c r="F27" s="5"/>
      <c r="G27" s="103">
        <f>G2</f>
        <v>46209</v>
      </c>
      <c r="H27" s="103"/>
    </row>
    <row r="28" spans="1:12" ht="19.5" hidden="1">
      <c r="A28" s="6"/>
      <c r="B28" s="5" t="s">
        <v>4</v>
      </c>
      <c r="C28" s="100" t="str">
        <f>C3</f>
        <v>M-R4A-2026-07-629271</v>
      </c>
      <c r="D28" s="104"/>
      <c r="E28" s="5" t="s">
        <v>5</v>
      </c>
      <c r="F28" s="7"/>
      <c r="G28" s="101"/>
      <c r="H28" s="101"/>
    </row>
    <row r="29" spans="1:12" ht="19.5" hidden="1">
      <c r="A29" s="6"/>
      <c r="B29" s="5" t="s">
        <v>6</v>
      </c>
      <c r="C29" s="9">
        <f>C4</f>
        <v>2007</v>
      </c>
      <c r="D29" s="10" t="s">
        <v>7</v>
      </c>
      <c r="E29" s="5" t="s">
        <v>8</v>
      </c>
      <c r="F29" s="11"/>
      <c r="G29" s="101"/>
      <c r="H29" s="101"/>
    </row>
    <row r="30" spans="1:12" ht="19.5" hidden="1">
      <c r="A30" s="6"/>
      <c r="B30" s="6"/>
      <c r="C30" s="6"/>
      <c r="D30" s="6"/>
      <c r="E30" s="6"/>
      <c r="F30" s="6"/>
      <c r="G30" s="12"/>
      <c r="H30" s="6"/>
    </row>
    <row r="31" spans="1:12" ht="39" hidden="1">
      <c r="A31" s="13" t="s">
        <v>9</v>
      </c>
      <c r="B31" s="13" t="s">
        <v>10</v>
      </c>
      <c r="C31" s="14" t="s">
        <v>11</v>
      </c>
      <c r="D31" s="14" t="s">
        <v>12</v>
      </c>
      <c r="E31" s="14" t="s">
        <v>13</v>
      </c>
      <c r="F31" s="14" t="s">
        <v>14</v>
      </c>
      <c r="G31" s="15" t="s">
        <v>15</v>
      </c>
      <c r="H31" s="14" t="s">
        <v>16</v>
      </c>
    </row>
    <row r="32" spans="1:12" s="2" customFormat="1" ht="20.100000000000001" hidden="1" customHeight="1">
      <c r="A32" s="53">
        <v>1</v>
      </c>
      <c r="B32" s="54" t="s">
        <v>22</v>
      </c>
      <c r="C32" s="55">
        <v>566</v>
      </c>
      <c r="D32" s="56">
        <v>1</v>
      </c>
      <c r="E32" s="57">
        <v>0</v>
      </c>
      <c r="F32" s="57">
        <f>C32*D32</f>
        <v>566</v>
      </c>
      <c r="G32" s="57">
        <f>C32-E32-F32</f>
        <v>0</v>
      </c>
      <c r="H32" s="58"/>
    </row>
    <row r="33" spans="1:8" s="2" customFormat="1" ht="20.100000000000001" hidden="1" customHeight="1">
      <c r="A33" s="53">
        <v>2</v>
      </c>
      <c r="B33" s="54"/>
      <c r="C33" s="55"/>
      <c r="D33" s="59"/>
      <c r="E33" s="57"/>
      <c r="F33" s="57"/>
      <c r="G33" s="57"/>
      <c r="H33" s="60"/>
    </row>
    <row r="34" spans="1:8" s="2" customFormat="1" ht="20.100000000000001" hidden="1" customHeight="1">
      <c r="A34" s="53">
        <v>3</v>
      </c>
      <c r="B34" s="61"/>
      <c r="C34" s="55"/>
      <c r="D34" s="62"/>
      <c r="E34" s="63"/>
      <c r="F34" s="63"/>
      <c r="G34" s="63"/>
      <c r="H34" s="60"/>
    </row>
    <row r="35" spans="1:8" s="2" customFormat="1" ht="20.100000000000001" hidden="1" customHeight="1">
      <c r="A35" s="53">
        <v>4</v>
      </c>
      <c r="B35" s="54"/>
      <c r="C35" s="64"/>
      <c r="D35" s="62"/>
      <c r="E35" s="63"/>
      <c r="F35" s="63"/>
      <c r="G35" s="63"/>
      <c r="H35" s="60"/>
    </row>
    <row r="36" spans="1:8" s="2" customFormat="1" ht="20.100000000000001" hidden="1" customHeight="1">
      <c r="A36" s="53">
        <v>5</v>
      </c>
      <c r="B36" s="54"/>
      <c r="C36" s="64"/>
      <c r="D36" s="62"/>
      <c r="E36" s="63"/>
      <c r="F36" s="63"/>
      <c r="G36" s="63"/>
      <c r="H36" s="60"/>
    </row>
    <row r="37" spans="1:8" s="2" customFormat="1" ht="20.100000000000001" hidden="1" customHeight="1">
      <c r="A37" s="53">
        <v>6</v>
      </c>
      <c r="B37" s="65"/>
      <c r="C37" s="66"/>
      <c r="D37" s="67"/>
      <c r="E37" s="63"/>
      <c r="F37" s="63"/>
      <c r="G37" s="63"/>
      <c r="H37" s="60"/>
    </row>
    <row r="38" spans="1:8" s="2" customFormat="1" ht="20.100000000000001" hidden="1" customHeight="1">
      <c r="A38" s="53">
        <v>7</v>
      </c>
      <c r="B38" s="68"/>
      <c r="C38" s="66"/>
      <c r="D38" s="67"/>
      <c r="E38" s="63"/>
      <c r="F38" s="63"/>
      <c r="G38" s="63"/>
      <c r="H38" s="60"/>
    </row>
    <row r="39" spans="1:8" s="2" customFormat="1" ht="20.100000000000001" hidden="1" customHeight="1">
      <c r="A39" s="53">
        <v>8</v>
      </c>
      <c r="B39" s="65"/>
      <c r="C39" s="66"/>
      <c r="D39" s="67"/>
      <c r="E39" s="63"/>
      <c r="F39" s="63"/>
      <c r="G39" s="63"/>
      <c r="H39" s="60"/>
    </row>
    <row r="40" spans="1:8" s="2" customFormat="1" ht="20.100000000000001" hidden="1" customHeight="1">
      <c r="A40" s="53">
        <v>9</v>
      </c>
      <c r="B40" s="65"/>
      <c r="C40" s="66"/>
      <c r="D40" s="67"/>
      <c r="E40" s="63"/>
      <c r="F40" s="63"/>
      <c r="G40" s="63"/>
      <c r="H40" s="60"/>
    </row>
    <row r="41" spans="1:8" s="2" customFormat="1" ht="20.100000000000001" hidden="1" customHeight="1">
      <c r="A41" s="53">
        <v>10</v>
      </c>
      <c r="B41" s="65"/>
      <c r="C41" s="66"/>
      <c r="D41" s="67"/>
      <c r="E41" s="63"/>
      <c r="F41" s="63"/>
      <c r="G41" s="63"/>
      <c r="H41" s="69"/>
    </row>
    <row r="42" spans="1:8" ht="19.5" hidden="1">
      <c r="A42" s="13"/>
      <c r="B42" s="36" t="s">
        <v>17</v>
      </c>
      <c r="C42" s="37">
        <f t="shared" ref="C42:G42" si="3">SUM(C32:C41)</f>
        <v>566</v>
      </c>
      <c r="D42" s="38"/>
      <c r="E42" s="39">
        <f t="shared" si="3"/>
        <v>0</v>
      </c>
      <c r="F42" s="40">
        <f t="shared" si="3"/>
        <v>566</v>
      </c>
      <c r="G42" s="41">
        <f t="shared" si="3"/>
        <v>0</v>
      </c>
      <c r="H42" s="42"/>
    </row>
    <row r="43" spans="1:8" hidden="1"/>
    <row r="44" spans="1:8" ht="15.75" hidden="1">
      <c r="A44" s="45" t="s">
        <v>19</v>
      </c>
      <c r="B44" s="45"/>
      <c r="C44" s="45"/>
      <c r="D44" s="70" t="s">
        <v>23</v>
      </c>
      <c r="E44" s="45"/>
      <c r="F44" s="45"/>
      <c r="G44" s="46" t="s">
        <v>24</v>
      </c>
      <c r="H44" s="45"/>
    </row>
    <row r="45" spans="1:8" ht="15.75" hidden="1">
      <c r="A45" s="45"/>
      <c r="B45" s="45"/>
      <c r="C45" s="45"/>
      <c r="D45" s="71"/>
      <c r="E45" s="45"/>
      <c r="F45" s="45"/>
      <c r="G45" s="47"/>
      <c r="H45" s="45"/>
    </row>
    <row r="46" spans="1:8" ht="15.75" hidden="1">
      <c r="A46" s="45"/>
      <c r="B46" s="45"/>
      <c r="C46" s="45"/>
      <c r="D46" s="45"/>
      <c r="E46" s="45"/>
      <c r="F46" s="45"/>
      <c r="G46" s="48"/>
      <c r="H46" s="45"/>
    </row>
    <row r="47" spans="1:8" ht="15.75" hidden="1">
      <c r="A47" s="72" t="str">
        <f>A23</f>
        <v>PRINCE JOHN JOHAN ARAGON</v>
      </c>
      <c r="C47" s="45"/>
      <c r="D47" s="49" t="s">
        <v>21</v>
      </c>
      <c r="F47" s="49"/>
      <c r="G47" s="49" t="s">
        <v>25</v>
      </c>
    </row>
    <row r="48" spans="1:8" ht="15.75" hidden="1">
      <c r="A48" s="73" t="str">
        <f>A24</f>
        <v>Documentation Staff</v>
      </c>
      <c r="C48" s="50"/>
      <c r="D48" s="50" t="s">
        <v>26</v>
      </c>
      <c r="F48" s="50"/>
      <c r="G48" s="50" t="s">
        <v>27</v>
      </c>
    </row>
    <row r="49" spans="1:8" ht="15.75" hidden="1">
      <c r="A49" s="45"/>
      <c r="B49" s="45"/>
      <c r="C49" s="45"/>
      <c r="D49" s="45"/>
      <c r="E49" s="45"/>
      <c r="F49" s="45"/>
      <c r="G49" s="48"/>
      <c r="H49" s="45"/>
    </row>
    <row r="50" spans="1:8" hidden="1"/>
    <row r="51" spans="1:8" hidden="1">
      <c r="G51" s="74"/>
    </row>
    <row r="52" spans="1:8" hidden="1">
      <c r="G52" s="74"/>
    </row>
    <row r="53" spans="1:8" ht="23.25">
      <c r="A53" s="105"/>
      <c r="B53" s="105"/>
      <c r="C53" s="105"/>
      <c r="D53" s="105"/>
      <c r="E53" s="105"/>
      <c r="F53" s="105"/>
      <c r="G53" s="105"/>
      <c r="H53" s="105"/>
    </row>
    <row r="54" spans="1:8" ht="18.75">
      <c r="A54" s="75"/>
      <c r="B54" s="76"/>
      <c r="C54" s="77"/>
      <c r="D54" s="78"/>
      <c r="E54" s="79"/>
      <c r="F54" s="79"/>
      <c r="G54" s="79"/>
      <c r="H54" s="80"/>
    </row>
    <row r="55" spans="1:8" ht="18.75">
      <c r="A55" s="75"/>
      <c r="B55" s="76"/>
      <c r="C55" s="77"/>
      <c r="D55" s="78"/>
      <c r="E55" s="79" t="s">
        <v>38</v>
      </c>
      <c r="F55" s="79"/>
      <c r="G55" s="79"/>
      <c r="H55" s="80"/>
    </row>
    <row r="56" spans="1:8" ht="18.75">
      <c r="A56" s="75"/>
      <c r="B56" s="76"/>
      <c r="C56" s="77"/>
      <c r="D56" s="78"/>
      <c r="E56" s="79"/>
      <c r="F56" s="79"/>
      <c r="G56" s="79"/>
      <c r="H56" s="80"/>
    </row>
    <row r="57" spans="1:8" ht="18.75">
      <c r="A57" s="75"/>
      <c r="B57" s="76"/>
      <c r="C57" s="77"/>
      <c r="D57" s="78"/>
      <c r="E57" s="79"/>
      <c r="F57" s="79"/>
      <c r="G57" s="79"/>
      <c r="H57" s="80"/>
    </row>
    <row r="58" spans="1:8" ht="18.75">
      <c r="A58" s="75"/>
      <c r="B58" s="76"/>
      <c r="C58" s="77"/>
      <c r="D58" s="78"/>
      <c r="E58" s="79"/>
      <c r="F58" s="79"/>
      <c r="G58" s="79"/>
      <c r="H58" s="80"/>
    </row>
    <row r="59" spans="1:8" ht="18.75">
      <c r="A59" s="75"/>
      <c r="B59" s="81"/>
      <c r="C59" s="77"/>
      <c r="D59" s="78"/>
      <c r="E59" s="79"/>
      <c r="F59" s="79"/>
      <c r="G59" s="79"/>
      <c r="H59" s="82"/>
    </row>
    <row r="60" spans="1:8" ht="18.75">
      <c r="A60" s="75"/>
      <c r="B60" s="106"/>
      <c r="C60" s="106"/>
      <c r="D60" s="106"/>
      <c r="E60" s="79"/>
      <c r="F60" s="79"/>
      <c r="G60" s="79"/>
      <c r="H60" s="82"/>
    </row>
    <row r="61" spans="1:8" ht="18.75">
      <c r="A61" s="75"/>
      <c r="B61" s="107"/>
      <c r="C61" s="107"/>
      <c r="D61" s="107"/>
      <c r="E61" s="79"/>
      <c r="F61" s="79"/>
      <c r="G61" s="79"/>
      <c r="H61" s="82"/>
    </row>
    <row r="62" spans="1:8" ht="18.75">
      <c r="A62" s="75"/>
      <c r="B62" s="108"/>
      <c r="C62" s="108"/>
      <c r="D62" s="108"/>
      <c r="E62" s="79"/>
      <c r="F62" s="79"/>
      <c r="G62" s="79"/>
      <c r="H62" s="82"/>
    </row>
    <row r="63" spans="1:8" ht="18.75">
      <c r="A63" s="75"/>
      <c r="B63" s="109"/>
      <c r="C63" s="109"/>
      <c r="D63" s="109"/>
      <c r="E63" s="79"/>
      <c r="F63" s="79"/>
      <c r="G63" s="79"/>
      <c r="H63" s="83"/>
    </row>
    <row r="64" spans="1:8" ht="19.5">
      <c r="A64" s="84"/>
      <c r="B64" s="85"/>
      <c r="C64" s="86"/>
      <c r="D64" s="87"/>
      <c r="E64" s="88"/>
      <c r="F64" s="89"/>
      <c r="G64" s="90"/>
      <c r="H64" s="91"/>
    </row>
    <row r="65" spans="1:8" ht="17.25">
      <c r="A65" s="102"/>
      <c r="B65" s="102"/>
      <c r="C65" s="102"/>
      <c r="D65" s="102"/>
      <c r="E65" s="102"/>
      <c r="F65" s="102"/>
      <c r="G65" s="102"/>
      <c r="H65" s="102"/>
    </row>
    <row r="66" spans="1:8" ht="15.75">
      <c r="A66" s="45"/>
      <c r="B66" s="45"/>
      <c r="C66" s="45"/>
      <c r="D66" s="45"/>
      <c r="E66" s="45"/>
      <c r="F66" s="45"/>
      <c r="G66" s="92"/>
      <c r="H66" s="45"/>
    </row>
    <row r="67" spans="1:8" ht="15.75">
      <c r="A67" s="45"/>
      <c r="B67" s="45"/>
      <c r="C67" s="45"/>
      <c r="D67" s="45"/>
      <c r="E67" s="45"/>
      <c r="F67" s="45"/>
      <c r="G67" s="47"/>
      <c r="H67" s="45"/>
    </row>
    <row r="68" spans="1:8" ht="15.75">
      <c r="A68" s="45"/>
      <c r="B68" s="45"/>
      <c r="C68" s="45"/>
      <c r="D68" s="45"/>
      <c r="E68" s="45"/>
      <c r="F68" s="45"/>
      <c r="G68" s="48"/>
      <c r="H68" s="45"/>
    </row>
    <row r="69" spans="1:8" ht="15.75">
      <c r="A69" s="49"/>
      <c r="C69" s="45"/>
      <c r="D69" s="49"/>
      <c r="F69" s="49"/>
      <c r="G69" s="49"/>
    </row>
    <row r="70" spans="1:8" ht="15.75">
      <c r="A70" s="50"/>
      <c r="C70" s="50"/>
      <c r="D70" s="50"/>
      <c r="F70" s="50"/>
      <c r="G70" s="50"/>
    </row>
    <row r="71" spans="1:8">
      <c r="A71" s="51"/>
      <c r="B71" s="51"/>
      <c r="C71" s="51"/>
      <c r="D71" s="51"/>
      <c r="E71" s="51"/>
      <c r="F71" s="51"/>
      <c r="G71" s="52"/>
      <c r="H71" s="51"/>
    </row>
  </sheetData>
  <mergeCells count="18">
    <mergeCell ref="A65:H65"/>
    <mergeCell ref="A26:H26"/>
    <mergeCell ref="C27:D27"/>
    <mergeCell ref="G27:H27"/>
    <mergeCell ref="C28:D28"/>
    <mergeCell ref="G28:H28"/>
    <mergeCell ref="G29:H29"/>
    <mergeCell ref="A53:H53"/>
    <mergeCell ref="B60:D60"/>
    <mergeCell ref="B61:D61"/>
    <mergeCell ref="B62:D62"/>
    <mergeCell ref="B63:D63"/>
    <mergeCell ref="G4:H4"/>
    <mergeCell ref="A1:H1"/>
    <mergeCell ref="C2:D2"/>
    <mergeCell ref="G2:H2"/>
    <mergeCell ref="C3:D3"/>
    <mergeCell ref="G3:H3"/>
  </mergeCells>
  <printOptions horizontalCentered="1"/>
  <pageMargins left="0" right="0" top="0.196850393700787" bottom="0" header="0" footer="0"/>
  <pageSetup paperSize="9" scale="8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0CDE1-7317-4935-9DB4-320A01F493AF}">
  <sheetPr codeName="Sheet11">
    <pageSetUpPr fitToPage="1"/>
  </sheetPr>
  <dimension ref="A1:L71"/>
  <sheetViews>
    <sheetView view="pageBreakPreview" zoomScale="85" zoomScaleNormal="70" zoomScaleSheetLayoutView="85" workbookViewId="0">
      <selection activeCell="F13" sqref="F13"/>
    </sheetView>
  </sheetViews>
  <sheetFormatPr defaultColWidth="9" defaultRowHeight="15"/>
  <cols>
    <col min="1" max="1" width="5.7109375" customWidth="1"/>
    <col min="2" max="2" width="31.42578125" customWidth="1"/>
    <col min="3" max="3" width="15.85546875" customWidth="1"/>
    <col min="4" max="4" width="14.140625" customWidth="1"/>
    <col min="5" max="5" width="15.140625" customWidth="1"/>
    <col min="6" max="6" width="14.5703125" customWidth="1"/>
    <col min="7" max="7" width="14.42578125" style="3" customWidth="1"/>
    <col min="8" max="8" width="15.42578125" customWidth="1"/>
    <col min="10" max="10" width="14.85546875" customWidth="1"/>
  </cols>
  <sheetData>
    <row r="1" spans="1:10" s="1" customFormat="1" ht="23.25">
      <c r="A1" s="97" t="s">
        <v>0</v>
      </c>
      <c r="B1" s="97"/>
      <c r="C1" s="97"/>
      <c r="D1" s="97"/>
      <c r="E1" s="97"/>
      <c r="F1" s="97"/>
      <c r="G1" s="97"/>
      <c r="H1" s="97"/>
    </row>
    <row r="2" spans="1:10" s="1" customFormat="1" ht="21">
      <c r="A2" s="4"/>
      <c r="B2" s="5" t="s">
        <v>1</v>
      </c>
      <c r="C2" s="98" t="s">
        <v>2</v>
      </c>
      <c r="D2" s="98"/>
      <c r="E2" s="5" t="s">
        <v>3</v>
      </c>
      <c r="F2" s="5"/>
      <c r="G2" s="99">
        <v>46211</v>
      </c>
      <c r="H2" s="99"/>
    </row>
    <row r="3" spans="1:10" ht="19.5">
      <c r="A3" s="6"/>
      <c r="B3" s="5" t="s">
        <v>4</v>
      </c>
      <c r="C3" s="100" t="s">
        <v>68</v>
      </c>
      <c r="D3" s="100"/>
      <c r="E3" s="5" t="s">
        <v>5</v>
      </c>
      <c r="F3" s="7"/>
      <c r="G3" s="101" t="s">
        <v>30</v>
      </c>
      <c r="H3" s="101"/>
      <c r="J3" s="8"/>
    </row>
    <row r="4" spans="1:10" ht="19.5">
      <c r="A4" s="6"/>
      <c r="B4" s="5" t="s">
        <v>6</v>
      </c>
      <c r="C4" s="9">
        <f>C18</f>
        <v>1462</v>
      </c>
      <c r="D4" s="10" t="s">
        <v>7</v>
      </c>
      <c r="E4" s="5" t="s">
        <v>8</v>
      </c>
      <c r="F4" s="11"/>
      <c r="G4" s="95">
        <v>15477</v>
      </c>
      <c r="H4" s="96"/>
    </row>
    <row r="5" spans="1:10" ht="6.75" customHeight="1">
      <c r="A5" s="6"/>
      <c r="B5" s="6"/>
      <c r="C5" s="6"/>
      <c r="D5" s="6"/>
      <c r="E5" s="6"/>
      <c r="F5" s="6"/>
      <c r="G5" s="12"/>
      <c r="H5" s="6"/>
    </row>
    <row r="6" spans="1:10" ht="39">
      <c r="A6" s="13" t="s">
        <v>9</v>
      </c>
      <c r="B6" s="13" t="s">
        <v>10</v>
      </c>
      <c r="C6" s="14" t="s">
        <v>11</v>
      </c>
      <c r="D6" s="14" t="s">
        <v>12</v>
      </c>
      <c r="E6" s="14" t="s">
        <v>13</v>
      </c>
      <c r="F6" s="14" t="s">
        <v>14</v>
      </c>
      <c r="G6" s="15" t="s">
        <v>15</v>
      </c>
      <c r="H6" s="14" t="s">
        <v>16</v>
      </c>
    </row>
    <row r="7" spans="1:10" s="2" customFormat="1" ht="20.100000000000001" customHeight="1">
      <c r="A7" s="16">
        <v>1</v>
      </c>
      <c r="B7" s="17" t="s">
        <v>31</v>
      </c>
      <c r="C7" s="18">
        <v>1462</v>
      </c>
      <c r="D7" s="19">
        <v>1</v>
      </c>
      <c r="E7" s="20">
        <f>C7*D7</f>
        <v>1462</v>
      </c>
      <c r="F7" s="20">
        <v>0</v>
      </c>
      <c r="G7" s="21">
        <v>0</v>
      </c>
      <c r="H7" s="22"/>
      <c r="J7" s="23">
        <f t="shared" ref="J7:J18" si="0">E7+F7+G7</f>
        <v>1462</v>
      </c>
    </row>
    <row r="8" spans="1:10" s="2" customFormat="1" ht="20.100000000000001" customHeight="1">
      <c r="A8" s="16">
        <v>2</v>
      </c>
      <c r="B8" s="17"/>
      <c r="C8" s="18"/>
      <c r="D8" s="19"/>
      <c r="E8" s="20">
        <f>C8*D8</f>
        <v>0</v>
      </c>
      <c r="F8" s="20">
        <v>0</v>
      </c>
      <c r="G8" s="21">
        <v>0</v>
      </c>
      <c r="H8" s="24"/>
      <c r="J8" s="23">
        <f t="shared" si="0"/>
        <v>0</v>
      </c>
    </row>
    <row r="9" spans="1:10" s="2" customFormat="1" ht="20.100000000000001" customHeight="1">
      <c r="A9" s="16">
        <v>3</v>
      </c>
      <c r="B9" s="17"/>
      <c r="C9" s="18"/>
      <c r="D9" s="19"/>
      <c r="E9" s="20">
        <f>ROUND(C9*D9,0)</f>
        <v>0</v>
      </c>
      <c r="F9" s="20">
        <v>0</v>
      </c>
      <c r="G9" s="21">
        <f>C9-E9</f>
        <v>0</v>
      </c>
      <c r="H9" s="24"/>
      <c r="J9" s="23">
        <f t="shared" si="0"/>
        <v>0</v>
      </c>
    </row>
    <row r="10" spans="1:10" s="2" customFormat="1" ht="20.100000000000001" customHeight="1">
      <c r="A10" s="16">
        <v>4</v>
      </c>
      <c r="B10" s="17"/>
      <c r="C10" s="18"/>
      <c r="D10" s="19"/>
      <c r="E10" s="20">
        <f t="shared" ref="E10:E17" si="1">ROUND(C10*D10,0)</f>
        <v>0</v>
      </c>
      <c r="F10" s="20">
        <v>0</v>
      </c>
      <c r="G10" s="21">
        <f t="shared" ref="G10:G17" si="2">C10-E10-F10</f>
        <v>0</v>
      </c>
      <c r="H10" s="24"/>
      <c r="J10" s="23">
        <f t="shared" si="0"/>
        <v>0</v>
      </c>
    </row>
    <row r="11" spans="1:10" s="2" customFormat="1" ht="20.100000000000001" customHeight="1">
      <c r="A11" s="16">
        <v>5</v>
      </c>
      <c r="B11" s="17"/>
      <c r="C11" s="18"/>
      <c r="D11" s="19"/>
      <c r="E11" s="20">
        <f t="shared" si="1"/>
        <v>0</v>
      </c>
      <c r="F11" s="20">
        <v>0</v>
      </c>
      <c r="G11" s="21">
        <f t="shared" si="2"/>
        <v>0</v>
      </c>
      <c r="H11" s="25"/>
      <c r="J11" s="23">
        <f t="shared" si="0"/>
        <v>0</v>
      </c>
    </row>
    <row r="12" spans="1:10" s="2" customFormat="1" ht="20.100000000000001" customHeight="1">
      <c r="A12" s="16">
        <v>6</v>
      </c>
      <c r="B12" s="17"/>
      <c r="C12" s="18"/>
      <c r="D12" s="26"/>
      <c r="E12" s="20">
        <f t="shared" si="1"/>
        <v>0</v>
      </c>
      <c r="F12" s="20">
        <v>0</v>
      </c>
      <c r="G12" s="21">
        <f t="shared" si="2"/>
        <v>0</v>
      </c>
      <c r="H12" s="27"/>
      <c r="J12" s="23">
        <f t="shared" si="0"/>
        <v>0</v>
      </c>
    </row>
    <row r="13" spans="1:10" s="2" customFormat="1" ht="19.5" customHeight="1">
      <c r="A13" s="16">
        <v>7</v>
      </c>
      <c r="B13" s="17"/>
      <c r="C13" s="28"/>
      <c r="D13" s="29"/>
      <c r="E13" s="20">
        <f t="shared" si="1"/>
        <v>0</v>
      </c>
      <c r="F13" s="20">
        <v>0</v>
      </c>
      <c r="G13" s="21">
        <f t="shared" si="2"/>
        <v>0</v>
      </c>
      <c r="H13" s="30"/>
      <c r="J13" s="23">
        <f t="shared" si="0"/>
        <v>0</v>
      </c>
    </row>
    <row r="14" spans="1:10" s="2" customFormat="1" ht="19.5" customHeight="1">
      <c r="A14" s="16">
        <v>8</v>
      </c>
      <c r="B14" s="17"/>
      <c r="C14" s="28"/>
      <c r="D14" s="29"/>
      <c r="E14" s="20">
        <f t="shared" si="1"/>
        <v>0</v>
      </c>
      <c r="F14" s="20">
        <v>0</v>
      </c>
      <c r="G14" s="21">
        <f t="shared" si="2"/>
        <v>0</v>
      </c>
      <c r="H14" s="30"/>
      <c r="J14" s="23">
        <f t="shared" si="0"/>
        <v>0</v>
      </c>
    </row>
    <row r="15" spans="1:10" s="2" customFormat="1" ht="19.5" customHeight="1">
      <c r="A15" s="16">
        <v>9</v>
      </c>
      <c r="B15" s="93"/>
      <c r="C15" s="32"/>
      <c r="D15" s="33"/>
      <c r="E15" s="20">
        <f t="shared" si="1"/>
        <v>0</v>
      </c>
      <c r="F15" s="20">
        <v>0</v>
      </c>
      <c r="G15" s="21">
        <f t="shared" si="2"/>
        <v>0</v>
      </c>
      <c r="H15" s="30"/>
      <c r="J15" s="23">
        <f t="shared" si="0"/>
        <v>0</v>
      </c>
    </row>
    <row r="16" spans="1:10" s="2" customFormat="1" ht="19.5" customHeight="1">
      <c r="A16" s="16">
        <v>10</v>
      </c>
      <c r="B16" s="94"/>
      <c r="C16" s="35"/>
      <c r="D16" s="33"/>
      <c r="E16" s="20">
        <f t="shared" si="1"/>
        <v>0</v>
      </c>
      <c r="F16" s="20">
        <v>0</v>
      </c>
      <c r="G16" s="21">
        <f t="shared" si="2"/>
        <v>0</v>
      </c>
      <c r="H16" s="30"/>
      <c r="J16" s="23">
        <f t="shared" si="0"/>
        <v>0</v>
      </c>
    </row>
    <row r="17" spans="1:12" s="2" customFormat="1" ht="19.5" customHeight="1">
      <c r="A17" s="16">
        <v>11</v>
      </c>
      <c r="B17" s="94"/>
      <c r="C17" s="35"/>
      <c r="D17" s="33"/>
      <c r="E17" s="20">
        <f t="shared" si="1"/>
        <v>0</v>
      </c>
      <c r="F17" s="20">
        <v>0</v>
      </c>
      <c r="G17" s="21">
        <f t="shared" si="2"/>
        <v>0</v>
      </c>
      <c r="H17" s="30"/>
      <c r="J17" s="23">
        <f t="shared" si="0"/>
        <v>0</v>
      </c>
    </row>
    <row r="18" spans="1:12" ht="19.5">
      <c r="A18" s="13"/>
      <c r="B18" s="36" t="s">
        <v>17</v>
      </c>
      <c r="C18" s="37">
        <f>SUM(C7:C17)</f>
        <v>1462</v>
      </c>
      <c r="D18" s="37"/>
      <c r="E18" s="37">
        <f>SUM(E7:E17)</f>
        <v>1462</v>
      </c>
      <c r="F18" s="37">
        <f>SUM(F7:F9)</f>
        <v>0</v>
      </c>
      <c r="G18" s="37">
        <f>SUM(G7:G9)</f>
        <v>0</v>
      </c>
      <c r="H18" s="42"/>
      <c r="J18" s="43">
        <f t="shared" si="0"/>
        <v>1462</v>
      </c>
      <c r="L18" s="8" t="s">
        <v>18</v>
      </c>
    </row>
    <row r="19" spans="1:12" ht="9" customHeight="1">
      <c r="A19" s="44"/>
      <c r="B19" s="44"/>
      <c r="C19" s="44"/>
      <c r="D19" s="44"/>
      <c r="E19" s="44"/>
      <c r="F19" s="44"/>
      <c r="G19" s="44"/>
      <c r="H19" s="44"/>
    </row>
    <row r="20" spans="1:12" ht="15.75">
      <c r="A20" s="45" t="s">
        <v>19</v>
      </c>
      <c r="B20" s="45"/>
      <c r="C20" s="45"/>
      <c r="D20" s="45" t="s">
        <v>20</v>
      </c>
      <c r="E20" s="45"/>
      <c r="F20" s="45"/>
      <c r="G20" s="46"/>
      <c r="H20" s="45"/>
    </row>
    <row r="21" spans="1:12" ht="15.75">
      <c r="A21" s="45"/>
      <c r="B21" s="45"/>
      <c r="C21" s="45"/>
      <c r="D21" s="45"/>
      <c r="E21" s="45"/>
      <c r="F21" s="45"/>
      <c r="G21" s="47"/>
      <c r="H21" s="45"/>
    </row>
    <row r="22" spans="1:12" ht="15.75">
      <c r="A22" s="45"/>
      <c r="B22" s="45"/>
      <c r="C22" s="45"/>
      <c r="D22" s="45"/>
      <c r="E22" s="45"/>
      <c r="F22" s="45"/>
      <c r="G22" s="48"/>
      <c r="H22" s="45"/>
    </row>
    <row r="23" spans="1:12" ht="15.75">
      <c r="A23" s="49" t="s">
        <v>37</v>
      </c>
      <c r="C23" s="45"/>
      <c r="D23" s="49" t="s">
        <v>21</v>
      </c>
      <c r="F23" s="49"/>
      <c r="G23" s="49"/>
    </row>
    <row r="24" spans="1:12" ht="15.75">
      <c r="A24" s="50" t="s">
        <v>35</v>
      </c>
      <c r="C24" s="50"/>
      <c r="D24" s="50" t="s">
        <v>42</v>
      </c>
      <c r="F24" s="50"/>
      <c r="G24" s="50"/>
    </row>
    <row r="25" spans="1:12">
      <c r="A25" s="51"/>
      <c r="B25" s="51"/>
      <c r="C25" s="51"/>
      <c r="D25" s="51"/>
      <c r="E25" s="51"/>
      <c r="F25" s="51"/>
      <c r="G25" s="52"/>
      <c r="H25" s="51"/>
    </row>
    <row r="26" spans="1:12" s="1" customFormat="1" ht="23.25" hidden="1">
      <c r="A26" s="97" t="s">
        <v>0</v>
      </c>
      <c r="B26" s="97"/>
      <c r="C26" s="97"/>
      <c r="D26" s="97"/>
      <c r="E26" s="97"/>
      <c r="F26" s="97"/>
      <c r="G26" s="97"/>
      <c r="H26" s="97"/>
    </row>
    <row r="27" spans="1:12" s="1" customFormat="1" ht="21" hidden="1">
      <c r="A27" s="4"/>
      <c r="B27" s="5" t="s">
        <v>1</v>
      </c>
      <c r="C27" s="98" t="str">
        <f>C2</f>
        <v>ASTEC LTI</v>
      </c>
      <c r="D27" s="98"/>
      <c r="E27" s="5" t="s">
        <v>3</v>
      </c>
      <c r="F27" s="5"/>
      <c r="G27" s="103">
        <f>G2</f>
        <v>46211</v>
      </c>
      <c r="H27" s="103"/>
    </row>
    <row r="28" spans="1:12" ht="19.5" hidden="1">
      <c r="A28" s="6"/>
      <c r="B28" s="5" t="s">
        <v>4</v>
      </c>
      <c r="C28" s="100" t="str">
        <f>C3</f>
        <v>M-R4A-2026-07-630199</v>
      </c>
      <c r="D28" s="104"/>
      <c r="E28" s="5" t="s">
        <v>5</v>
      </c>
      <c r="F28" s="7"/>
      <c r="G28" s="101"/>
      <c r="H28" s="101"/>
    </row>
    <row r="29" spans="1:12" ht="19.5" hidden="1">
      <c r="A29" s="6"/>
      <c r="B29" s="5" t="s">
        <v>6</v>
      </c>
      <c r="C29" s="9">
        <f>C4</f>
        <v>1462</v>
      </c>
      <c r="D29" s="10" t="s">
        <v>7</v>
      </c>
      <c r="E29" s="5" t="s">
        <v>8</v>
      </c>
      <c r="F29" s="11"/>
      <c r="G29" s="101"/>
      <c r="H29" s="101"/>
    </row>
    <row r="30" spans="1:12" ht="19.5" hidden="1">
      <c r="A30" s="6"/>
      <c r="B30" s="6"/>
      <c r="C30" s="6"/>
      <c r="D30" s="6"/>
      <c r="E30" s="6"/>
      <c r="F30" s="6"/>
      <c r="G30" s="12"/>
      <c r="H30" s="6"/>
    </row>
    <row r="31" spans="1:12" ht="39" hidden="1">
      <c r="A31" s="13" t="s">
        <v>9</v>
      </c>
      <c r="B31" s="13" t="s">
        <v>10</v>
      </c>
      <c r="C31" s="14" t="s">
        <v>11</v>
      </c>
      <c r="D31" s="14" t="s">
        <v>12</v>
      </c>
      <c r="E31" s="14" t="s">
        <v>13</v>
      </c>
      <c r="F31" s="14" t="s">
        <v>14</v>
      </c>
      <c r="G31" s="15" t="s">
        <v>15</v>
      </c>
      <c r="H31" s="14" t="s">
        <v>16</v>
      </c>
    </row>
    <row r="32" spans="1:12" s="2" customFormat="1" ht="20.100000000000001" hidden="1" customHeight="1">
      <c r="A32" s="53">
        <v>1</v>
      </c>
      <c r="B32" s="54" t="s">
        <v>22</v>
      </c>
      <c r="C32" s="55">
        <v>566</v>
      </c>
      <c r="D32" s="56">
        <v>1</v>
      </c>
      <c r="E32" s="57">
        <v>0</v>
      </c>
      <c r="F32" s="57">
        <f>C32*D32</f>
        <v>566</v>
      </c>
      <c r="G32" s="57">
        <f>C32-E32-F32</f>
        <v>0</v>
      </c>
      <c r="H32" s="58"/>
    </row>
    <row r="33" spans="1:8" s="2" customFormat="1" ht="20.100000000000001" hidden="1" customHeight="1">
      <c r="A33" s="53">
        <v>2</v>
      </c>
      <c r="B33" s="54"/>
      <c r="C33" s="55"/>
      <c r="D33" s="59"/>
      <c r="E33" s="57"/>
      <c r="F33" s="57"/>
      <c r="G33" s="57"/>
      <c r="H33" s="60"/>
    </row>
    <row r="34" spans="1:8" s="2" customFormat="1" ht="20.100000000000001" hidden="1" customHeight="1">
      <c r="A34" s="53">
        <v>3</v>
      </c>
      <c r="B34" s="61"/>
      <c r="C34" s="55"/>
      <c r="D34" s="62"/>
      <c r="E34" s="63"/>
      <c r="F34" s="63"/>
      <c r="G34" s="63"/>
      <c r="H34" s="60"/>
    </row>
    <row r="35" spans="1:8" s="2" customFormat="1" ht="20.100000000000001" hidden="1" customHeight="1">
      <c r="A35" s="53">
        <v>4</v>
      </c>
      <c r="B35" s="54"/>
      <c r="C35" s="64"/>
      <c r="D35" s="62"/>
      <c r="E35" s="63"/>
      <c r="F35" s="63"/>
      <c r="G35" s="63"/>
      <c r="H35" s="60"/>
    </row>
    <row r="36" spans="1:8" s="2" customFormat="1" ht="20.100000000000001" hidden="1" customHeight="1">
      <c r="A36" s="53">
        <v>5</v>
      </c>
      <c r="B36" s="54"/>
      <c r="C36" s="64"/>
      <c r="D36" s="62"/>
      <c r="E36" s="63"/>
      <c r="F36" s="63"/>
      <c r="G36" s="63"/>
      <c r="H36" s="60"/>
    </row>
    <row r="37" spans="1:8" s="2" customFormat="1" ht="20.100000000000001" hidden="1" customHeight="1">
      <c r="A37" s="53">
        <v>6</v>
      </c>
      <c r="B37" s="65"/>
      <c r="C37" s="66"/>
      <c r="D37" s="67"/>
      <c r="E37" s="63"/>
      <c r="F37" s="63"/>
      <c r="G37" s="63"/>
      <c r="H37" s="60"/>
    </row>
    <row r="38" spans="1:8" s="2" customFormat="1" ht="20.100000000000001" hidden="1" customHeight="1">
      <c r="A38" s="53">
        <v>7</v>
      </c>
      <c r="B38" s="68"/>
      <c r="C38" s="66"/>
      <c r="D38" s="67"/>
      <c r="E38" s="63"/>
      <c r="F38" s="63"/>
      <c r="G38" s="63"/>
      <c r="H38" s="60"/>
    </row>
    <row r="39" spans="1:8" s="2" customFormat="1" ht="20.100000000000001" hidden="1" customHeight="1">
      <c r="A39" s="53">
        <v>8</v>
      </c>
      <c r="B39" s="65"/>
      <c r="C39" s="66"/>
      <c r="D39" s="67"/>
      <c r="E39" s="63"/>
      <c r="F39" s="63"/>
      <c r="G39" s="63"/>
      <c r="H39" s="60"/>
    </row>
    <row r="40" spans="1:8" s="2" customFormat="1" ht="20.100000000000001" hidden="1" customHeight="1">
      <c r="A40" s="53">
        <v>9</v>
      </c>
      <c r="B40" s="65"/>
      <c r="C40" s="66"/>
      <c r="D40" s="67"/>
      <c r="E40" s="63"/>
      <c r="F40" s="63"/>
      <c r="G40" s="63"/>
      <c r="H40" s="60"/>
    </row>
    <row r="41" spans="1:8" s="2" customFormat="1" ht="20.100000000000001" hidden="1" customHeight="1">
      <c r="A41" s="53">
        <v>10</v>
      </c>
      <c r="B41" s="65"/>
      <c r="C41" s="66"/>
      <c r="D41" s="67"/>
      <c r="E41" s="63"/>
      <c r="F41" s="63"/>
      <c r="G41" s="63"/>
      <c r="H41" s="69"/>
    </row>
    <row r="42" spans="1:8" ht="19.5" hidden="1">
      <c r="A42" s="13"/>
      <c r="B42" s="36" t="s">
        <v>17</v>
      </c>
      <c r="C42" s="37">
        <f t="shared" ref="C42:G42" si="3">SUM(C32:C41)</f>
        <v>566</v>
      </c>
      <c r="D42" s="38"/>
      <c r="E42" s="39">
        <f t="shared" si="3"/>
        <v>0</v>
      </c>
      <c r="F42" s="40">
        <f t="shared" si="3"/>
        <v>566</v>
      </c>
      <c r="G42" s="41">
        <f t="shared" si="3"/>
        <v>0</v>
      </c>
      <c r="H42" s="42"/>
    </row>
    <row r="43" spans="1:8" hidden="1"/>
    <row r="44" spans="1:8" ht="15.75" hidden="1">
      <c r="A44" s="45" t="s">
        <v>19</v>
      </c>
      <c r="B44" s="45"/>
      <c r="C44" s="45"/>
      <c r="D44" s="70" t="s">
        <v>23</v>
      </c>
      <c r="E44" s="45"/>
      <c r="F44" s="45"/>
      <c r="G44" s="46" t="s">
        <v>24</v>
      </c>
      <c r="H44" s="45"/>
    </row>
    <row r="45" spans="1:8" ht="15.75" hidden="1">
      <c r="A45" s="45"/>
      <c r="B45" s="45"/>
      <c r="C45" s="45"/>
      <c r="D45" s="71"/>
      <c r="E45" s="45"/>
      <c r="F45" s="45"/>
      <c r="G45" s="47"/>
      <c r="H45" s="45"/>
    </row>
    <row r="46" spans="1:8" ht="15.75" hidden="1">
      <c r="A46" s="45"/>
      <c r="B46" s="45"/>
      <c r="C46" s="45"/>
      <c r="D46" s="45"/>
      <c r="E46" s="45"/>
      <c r="F46" s="45"/>
      <c r="G46" s="48"/>
      <c r="H46" s="45"/>
    </row>
    <row r="47" spans="1:8" ht="15.75" hidden="1">
      <c r="A47" s="72" t="str">
        <f>A23</f>
        <v>PRINCE JOHN JOHAN ARAGON</v>
      </c>
      <c r="C47" s="45"/>
      <c r="D47" s="49" t="s">
        <v>21</v>
      </c>
      <c r="F47" s="49"/>
      <c r="G47" s="49" t="s">
        <v>25</v>
      </c>
    </row>
    <row r="48" spans="1:8" ht="15.75" hidden="1">
      <c r="A48" s="73" t="str">
        <f>A24</f>
        <v>Documentation Staff</v>
      </c>
      <c r="C48" s="50"/>
      <c r="D48" s="50" t="s">
        <v>26</v>
      </c>
      <c r="F48" s="50"/>
      <c r="G48" s="50" t="s">
        <v>27</v>
      </c>
    </row>
    <row r="49" spans="1:8" ht="15.75" hidden="1">
      <c r="A49" s="45"/>
      <c r="B49" s="45"/>
      <c r="C49" s="45"/>
      <c r="D49" s="45"/>
      <c r="E49" s="45"/>
      <c r="F49" s="45"/>
      <c r="G49" s="48"/>
      <c r="H49" s="45"/>
    </row>
    <row r="50" spans="1:8" hidden="1"/>
    <row r="51" spans="1:8" hidden="1">
      <c r="G51" s="74"/>
    </row>
    <row r="52" spans="1:8" hidden="1">
      <c r="G52" s="74"/>
    </row>
    <row r="53" spans="1:8" ht="23.25">
      <c r="A53" s="105"/>
      <c r="B53" s="105"/>
      <c r="C53" s="105"/>
      <c r="D53" s="105"/>
      <c r="E53" s="105"/>
      <c r="F53" s="105"/>
      <c r="G53" s="105"/>
      <c r="H53" s="105"/>
    </row>
    <row r="54" spans="1:8" ht="18.75">
      <c r="A54" s="75"/>
      <c r="B54" s="76"/>
      <c r="C54" s="77"/>
      <c r="D54" s="78"/>
      <c r="E54" s="79"/>
      <c r="F54" s="79"/>
      <c r="G54" s="79"/>
      <c r="H54" s="80"/>
    </row>
    <row r="55" spans="1:8" ht="18.75">
      <c r="A55" s="75"/>
      <c r="B55" s="76"/>
      <c r="C55" s="77"/>
      <c r="D55" s="78"/>
      <c r="E55" s="79" t="s">
        <v>38</v>
      </c>
      <c r="F55" s="79"/>
      <c r="G55" s="79"/>
      <c r="H55" s="80"/>
    </row>
    <row r="56" spans="1:8" ht="18.75">
      <c r="A56" s="75"/>
      <c r="B56" s="76"/>
      <c r="C56" s="77"/>
      <c r="D56" s="78"/>
      <c r="E56" s="79"/>
      <c r="F56" s="79"/>
      <c r="G56" s="79"/>
      <c r="H56" s="80"/>
    </row>
    <row r="57" spans="1:8" ht="18.75">
      <c r="A57" s="75"/>
      <c r="B57" s="76"/>
      <c r="C57" s="77"/>
      <c r="D57" s="78"/>
      <c r="E57" s="79"/>
      <c r="F57" s="79"/>
      <c r="G57" s="79"/>
      <c r="H57" s="80"/>
    </row>
    <row r="58" spans="1:8" ht="18.75">
      <c r="A58" s="75"/>
      <c r="B58" s="76"/>
      <c r="C58" s="77"/>
      <c r="D58" s="78"/>
      <c r="E58" s="79"/>
      <c r="F58" s="79"/>
      <c r="G58" s="79"/>
      <c r="H58" s="80"/>
    </row>
    <row r="59" spans="1:8" ht="18.75">
      <c r="A59" s="75"/>
      <c r="B59" s="81"/>
      <c r="C59" s="77"/>
      <c r="D59" s="78"/>
      <c r="E59" s="79"/>
      <c r="F59" s="79"/>
      <c r="G59" s="79"/>
      <c r="H59" s="82"/>
    </row>
    <row r="60" spans="1:8" ht="18.75">
      <c r="A60" s="75"/>
      <c r="B60" s="106"/>
      <c r="C60" s="106"/>
      <c r="D60" s="106"/>
      <c r="E60" s="79"/>
      <c r="F60" s="79"/>
      <c r="G60" s="79"/>
      <c r="H60" s="82"/>
    </row>
    <row r="61" spans="1:8" ht="18.75">
      <c r="A61" s="75"/>
      <c r="B61" s="107"/>
      <c r="C61" s="107"/>
      <c r="D61" s="107"/>
      <c r="E61" s="79"/>
      <c r="F61" s="79"/>
      <c r="G61" s="79"/>
      <c r="H61" s="82"/>
    </row>
    <row r="62" spans="1:8" ht="18.75">
      <c r="A62" s="75"/>
      <c r="B62" s="108"/>
      <c r="C62" s="108"/>
      <c r="D62" s="108"/>
      <c r="E62" s="79"/>
      <c r="F62" s="79"/>
      <c r="G62" s="79"/>
      <c r="H62" s="82"/>
    </row>
    <row r="63" spans="1:8" ht="18.75">
      <c r="A63" s="75"/>
      <c r="B63" s="109"/>
      <c r="C63" s="109"/>
      <c r="D63" s="109"/>
      <c r="E63" s="79"/>
      <c r="F63" s="79"/>
      <c r="G63" s="79"/>
      <c r="H63" s="83"/>
    </row>
    <row r="64" spans="1:8" ht="19.5">
      <c r="A64" s="84"/>
      <c r="B64" s="85"/>
      <c r="C64" s="86"/>
      <c r="D64" s="87"/>
      <c r="E64" s="88"/>
      <c r="F64" s="89"/>
      <c r="G64" s="90"/>
      <c r="H64" s="91"/>
    </row>
    <row r="65" spans="1:8" ht="17.25">
      <c r="A65" s="102"/>
      <c r="B65" s="102"/>
      <c r="C65" s="102"/>
      <c r="D65" s="102"/>
      <c r="E65" s="102"/>
      <c r="F65" s="102"/>
      <c r="G65" s="102"/>
      <c r="H65" s="102"/>
    </row>
    <row r="66" spans="1:8" ht="15.75">
      <c r="A66" s="45"/>
      <c r="B66" s="45"/>
      <c r="C66" s="45"/>
      <c r="D66" s="45"/>
      <c r="E66" s="45"/>
      <c r="F66" s="45"/>
      <c r="G66" s="92"/>
      <c r="H66" s="45"/>
    </row>
    <row r="67" spans="1:8" ht="15.75">
      <c r="A67" s="45"/>
      <c r="B67" s="45"/>
      <c r="C67" s="45"/>
      <c r="D67" s="45"/>
      <c r="E67" s="45"/>
      <c r="F67" s="45"/>
      <c r="G67" s="47"/>
      <c r="H67" s="45"/>
    </row>
    <row r="68" spans="1:8" ht="15.75">
      <c r="A68" s="45"/>
      <c r="B68" s="45"/>
      <c r="C68" s="45"/>
      <c r="D68" s="45"/>
      <c r="E68" s="45"/>
      <c r="F68" s="45"/>
      <c r="G68" s="48"/>
      <c r="H68" s="45"/>
    </row>
    <row r="69" spans="1:8" ht="15.75">
      <c r="A69" s="49"/>
      <c r="C69" s="45"/>
      <c r="D69" s="49"/>
      <c r="F69" s="49"/>
      <c r="G69" s="49"/>
    </row>
    <row r="70" spans="1:8" ht="15.75">
      <c r="A70" s="50"/>
      <c r="C70" s="50"/>
      <c r="D70" s="50"/>
      <c r="F70" s="50"/>
      <c r="G70" s="50"/>
    </row>
    <row r="71" spans="1:8">
      <c r="A71" s="51"/>
      <c r="B71" s="51"/>
      <c r="C71" s="51"/>
      <c r="D71" s="51"/>
      <c r="E71" s="51"/>
      <c r="F71" s="51"/>
      <c r="G71" s="52"/>
      <c r="H71" s="51"/>
    </row>
  </sheetData>
  <mergeCells count="18">
    <mergeCell ref="A65:H65"/>
    <mergeCell ref="A26:H26"/>
    <mergeCell ref="C27:D27"/>
    <mergeCell ref="G27:H27"/>
    <mergeCell ref="C28:D28"/>
    <mergeCell ref="G28:H28"/>
    <mergeCell ref="G29:H29"/>
    <mergeCell ref="A53:H53"/>
    <mergeCell ref="B60:D60"/>
    <mergeCell ref="B61:D61"/>
    <mergeCell ref="B62:D62"/>
    <mergeCell ref="B63:D63"/>
    <mergeCell ref="G4:H4"/>
    <mergeCell ref="A1:H1"/>
    <mergeCell ref="C2:D2"/>
    <mergeCell ref="G2:H2"/>
    <mergeCell ref="C3:D3"/>
    <mergeCell ref="G3:H3"/>
  </mergeCells>
  <printOptions horizontalCentered="1"/>
  <pageMargins left="0" right="0" top="0.196850393700787" bottom="0" header="0" footer="0"/>
  <pageSetup paperSize="9" scale="8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D897-4E57-4BA1-BEC7-A1C087AE6547}">
  <sheetPr codeName="Sheet12">
    <pageSetUpPr fitToPage="1"/>
  </sheetPr>
  <dimension ref="A1:L71"/>
  <sheetViews>
    <sheetView view="pageBreakPreview" zoomScale="85" zoomScaleNormal="70" zoomScaleSheetLayoutView="85" workbookViewId="0">
      <selection activeCell="B15" sqref="B15"/>
    </sheetView>
  </sheetViews>
  <sheetFormatPr defaultColWidth="9" defaultRowHeight="15"/>
  <cols>
    <col min="1" max="1" width="5.7109375" customWidth="1"/>
    <col min="2" max="2" width="31.42578125" customWidth="1"/>
    <col min="3" max="3" width="15.85546875" customWidth="1"/>
    <col min="4" max="4" width="14.140625" customWidth="1"/>
    <col min="5" max="5" width="15.140625" customWidth="1"/>
    <col min="6" max="6" width="14.5703125" customWidth="1"/>
    <col min="7" max="7" width="14.42578125" style="3" customWidth="1"/>
    <col min="8" max="8" width="15.42578125" customWidth="1"/>
    <col min="10" max="10" width="14.85546875" customWidth="1"/>
  </cols>
  <sheetData>
    <row r="1" spans="1:10" s="1" customFormat="1" ht="23.25">
      <c r="A1" s="97" t="s">
        <v>0</v>
      </c>
      <c r="B1" s="97"/>
      <c r="C1" s="97"/>
      <c r="D1" s="97"/>
      <c r="E1" s="97"/>
      <c r="F1" s="97"/>
      <c r="G1" s="97"/>
      <c r="H1" s="97"/>
    </row>
    <row r="2" spans="1:10" s="1" customFormat="1" ht="21">
      <c r="A2" s="4"/>
      <c r="B2" s="5" t="s">
        <v>1</v>
      </c>
      <c r="C2" s="98" t="s">
        <v>2</v>
      </c>
      <c r="D2" s="98"/>
      <c r="E2" s="5" t="s">
        <v>3</v>
      </c>
      <c r="F2" s="5"/>
      <c r="G2" s="99">
        <v>46212</v>
      </c>
      <c r="H2" s="99"/>
    </row>
    <row r="3" spans="1:10" ht="19.5">
      <c r="A3" s="6"/>
      <c r="B3" s="5" t="s">
        <v>4</v>
      </c>
      <c r="C3" s="100" t="s">
        <v>69</v>
      </c>
      <c r="D3" s="100"/>
      <c r="E3" s="5" t="s">
        <v>5</v>
      </c>
      <c r="F3" s="7"/>
      <c r="G3" s="101" t="s">
        <v>71</v>
      </c>
      <c r="H3" s="101"/>
      <c r="J3" s="8"/>
    </row>
    <row r="4" spans="1:10" ht="19.5">
      <c r="A4" s="6"/>
      <c r="B4" s="5" t="s">
        <v>6</v>
      </c>
      <c r="C4" s="9">
        <f>C18</f>
        <v>953</v>
      </c>
      <c r="D4" s="10" t="s">
        <v>7</v>
      </c>
      <c r="E4" s="5" t="s">
        <v>8</v>
      </c>
      <c r="F4" s="11"/>
      <c r="G4" s="95">
        <v>15478</v>
      </c>
      <c r="H4" s="96"/>
    </row>
    <row r="5" spans="1:10" ht="6.75" customHeight="1">
      <c r="A5" s="6"/>
      <c r="B5" s="6"/>
      <c r="C5" s="6"/>
      <c r="D5" s="6"/>
      <c r="E5" s="6"/>
      <c r="F5" s="6"/>
      <c r="G5" s="12"/>
      <c r="H5" s="6"/>
    </row>
    <row r="6" spans="1:10" ht="39">
      <c r="A6" s="13" t="s">
        <v>9</v>
      </c>
      <c r="B6" s="13" t="s">
        <v>10</v>
      </c>
      <c r="C6" s="14" t="s">
        <v>11</v>
      </c>
      <c r="D6" s="14" t="s">
        <v>12</v>
      </c>
      <c r="E6" s="14" t="s">
        <v>13</v>
      </c>
      <c r="F6" s="14" t="s">
        <v>14</v>
      </c>
      <c r="G6" s="15" t="s">
        <v>15</v>
      </c>
      <c r="H6" s="14" t="s">
        <v>16</v>
      </c>
    </row>
    <row r="7" spans="1:10" s="2" customFormat="1" ht="20.100000000000001" customHeight="1">
      <c r="A7" s="16">
        <v>1</v>
      </c>
      <c r="B7" s="17" t="s">
        <v>70</v>
      </c>
      <c r="C7" s="18">
        <v>709</v>
      </c>
      <c r="D7" s="19">
        <v>1</v>
      </c>
      <c r="E7" s="20">
        <f>C7*D7</f>
        <v>709</v>
      </c>
      <c r="F7" s="20">
        <v>0</v>
      </c>
      <c r="G7" s="21">
        <v>0</v>
      </c>
      <c r="H7" s="22"/>
      <c r="J7" s="23">
        <f t="shared" ref="J7:J18" si="0">E7+F7+G7</f>
        <v>709</v>
      </c>
    </row>
    <row r="8" spans="1:10" s="2" customFormat="1" ht="20.100000000000001" customHeight="1">
      <c r="A8" s="16">
        <v>2</v>
      </c>
      <c r="B8" s="17" t="s">
        <v>32</v>
      </c>
      <c r="C8" s="18">
        <v>244</v>
      </c>
      <c r="D8" s="19">
        <v>0.1</v>
      </c>
      <c r="E8" s="20">
        <f>ROUND(C8*D8,0)</f>
        <v>24</v>
      </c>
      <c r="F8" s="20">
        <v>0</v>
      </c>
      <c r="G8" s="21">
        <f>C8-E8</f>
        <v>220</v>
      </c>
      <c r="H8" s="24"/>
      <c r="J8" s="23">
        <f t="shared" si="0"/>
        <v>244</v>
      </c>
    </row>
    <row r="9" spans="1:10" s="2" customFormat="1" ht="20.100000000000001" customHeight="1">
      <c r="A9" s="16">
        <v>3</v>
      </c>
      <c r="B9" s="17"/>
      <c r="C9" s="18"/>
      <c r="D9" s="19"/>
      <c r="E9" s="20">
        <f>ROUND(C9*D9,0)</f>
        <v>0</v>
      </c>
      <c r="F9" s="20">
        <v>0</v>
      </c>
      <c r="G9" s="21">
        <f>C9-E9</f>
        <v>0</v>
      </c>
      <c r="H9" s="24"/>
      <c r="J9" s="23">
        <f t="shared" si="0"/>
        <v>0</v>
      </c>
    </row>
    <row r="10" spans="1:10" s="2" customFormat="1" ht="20.100000000000001" customHeight="1">
      <c r="A10" s="16">
        <v>4</v>
      </c>
      <c r="B10" s="17"/>
      <c r="C10" s="18"/>
      <c r="D10" s="19"/>
      <c r="E10" s="20">
        <f t="shared" ref="E10:E17" si="1">ROUND(C10*D10,0)</f>
        <v>0</v>
      </c>
      <c r="F10" s="20">
        <v>0</v>
      </c>
      <c r="G10" s="21">
        <f t="shared" ref="G10:G17" si="2">C10-E10-F10</f>
        <v>0</v>
      </c>
      <c r="H10" s="24"/>
      <c r="J10" s="23">
        <f t="shared" si="0"/>
        <v>0</v>
      </c>
    </row>
    <row r="11" spans="1:10" s="2" customFormat="1" ht="20.100000000000001" customHeight="1">
      <c r="A11" s="16">
        <v>5</v>
      </c>
      <c r="B11" s="17"/>
      <c r="C11" s="18"/>
      <c r="D11" s="19"/>
      <c r="E11" s="20">
        <f t="shared" si="1"/>
        <v>0</v>
      </c>
      <c r="F11" s="20">
        <v>0</v>
      </c>
      <c r="G11" s="21">
        <f t="shared" si="2"/>
        <v>0</v>
      </c>
      <c r="H11" s="25"/>
      <c r="J11" s="23">
        <f t="shared" si="0"/>
        <v>0</v>
      </c>
    </row>
    <row r="12" spans="1:10" s="2" customFormat="1" ht="20.100000000000001" customHeight="1">
      <c r="A12" s="16">
        <v>6</v>
      </c>
      <c r="B12" s="17"/>
      <c r="C12" s="18"/>
      <c r="D12" s="26"/>
      <c r="E12" s="20">
        <f t="shared" si="1"/>
        <v>0</v>
      </c>
      <c r="F12" s="20">
        <v>0</v>
      </c>
      <c r="G12" s="21">
        <f t="shared" si="2"/>
        <v>0</v>
      </c>
      <c r="H12" s="27"/>
      <c r="J12" s="23">
        <f t="shared" si="0"/>
        <v>0</v>
      </c>
    </row>
    <row r="13" spans="1:10" s="2" customFormat="1" ht="19.5" customHeight="1">
      <c r="A13" s="16">
        <v>7</v>
      </c>
      <c r="B13" s="17"/>
      <c r="C13" s="28"/>
      <c r="D13" s="29"/>
      <c r="E13" s="20">
        <f t="shared" si="1"/>
        <v>0</v>
      </c>
      <c r="F13" s="20">
        <v>0</v>
      </c>
      <c r="G13" s="21">
        <f t="shared" si="2"/>
        <v>0</v>
      </c>
      <c r="H13" s="30"/>
      <c r="J13" s="23">
        <f t="shared" si="0"/>
        <v>0</v>
      </c>
    </row>
    <row r="14" spans="1:10" s="2" customFormat="1" ht="19.5" customHeight="1">
      <c r="A14" s="16">
        <v>8</v>
      </c>
      <c r="B14" s="17"/>
      <c r="C14" s="28"/>
      <c r="D14" s="29"/>
      <c r="E14" s="20">
        <f t="shared" si="1"/>
        <v>0</v>
      </c>
      <c r="F14" s="20">
        <v>0</v>
      </c>
      <c r="G14" s="21">
        <f t="shared" si="2"/>
        <v>0</v>
      </c>
      <c r="H14" s="30"/>
      <c r="J14" s="23">
        <f t="shared" si="0"/>
        <v>0</v>
      </c>
    </row>
    <row r="15" spans="1:10" s="2" customFormat="1" ht="19.5" customHeight="1">
      <c r="A15" s="16">
        <v>9</v>
      </c>
      <c r="B15" s="93"/>
      <c r="C15" s="32"/>
      <c r="D15" s="33"/>
      <c r="E15" s="20">
        <f t="shared" si="1"/>
        <v>0</v>
      </c>
      <c r="F15" s="20">
        <v>0</v>
      </c>
      <c r="G15" s="21">
        <f t="shared" si="2"/>
        <v>0</v>
      </c>
      <c r="H15" s="30"/>
      <c r="J15" s="23">
        <f t="shared" si="0"/>
        <v>0</v>
      </c>
    </row>
    <row r="16" spans="1:10" s="2" customFormat="1" ht="19.5" customHeight="1">
      <c r="A16" s="16">
        <v>10</v>
      </c>
      <c r="B16" s="94"/>
      <c r="C16" s="35"/>
      <c r="D16" s="33"/>
      <c r="E16" s="20">
        <f t="shared" si="1"/>
        <v>0</v>
      </c>
      <c r="F16" s="20">
        <v>0</v>
      </c>
      <c r="G16" s="21">
        <f t="shared" si="2"/>
        <v>0</v>
      </c>
      <c r="H16" s="30"/>
      <c r="J16" s="23">
        <f t="shared" si="0"/>
        <v>0</v>
      </c>
    </row>
    <row r="17" spans="1:12" s="2" customFormat="1" ht="19.5" customHeight="1">
      <c r="A17" s="16">
        <v>11</v>
      </c>
      <c r="B17" s="94"/>
      <c r="C17" s="35"/>
      <c r="D17" s="33"/>
      <c r="E17" s="20">
        <f t="shared" si="1"/>
        <v>0</v>
      </c>
      <c r="F17" s="20">
        <v>0</v>
      </c>
      <c r="G17" s="21">
        <f t="shared" si="2"/>
        <v>0</v>
      </c>
      <c r="H17" s="30"/>
      <c r="J17" s="23">
        <f t="shared" si="0"/>
        <v>0</v>
      </c>
    </row>
    <row r="18" spans="1:12" ht="19.5">
      <c r="A18" s="13"/>
      <c r="B18" s="36" t="s">
        <v>17</v>
      </c>
      <c r="C18" s="37">
        <f>SUM(C7:C17)</f>
        <v>953</v>
      </c>
      <c r="D18" s="37"/>
      <c r="E18" s="37">
        <f>SUM(E7:E17)</f>
        <v>733</v>
      </c>
      <c r="F18" s="37">
        <f>SUM(F7:F9)</f>
        <v>0</v>
      </c>
      <c r="G18" s="37">
        <f>SUM(G7:G9)</f>
        <v>220</v>
      </c>
      <c r="H18" s="42"/>
      <c r="J18" s="43">
        <f t="shared" si="0"/>
        <v>953</v>
      </c>
      <c r="L18" s="8" t="s">
        <v>18</v>
      </c>
    </row>
    <row r="19" spans="1:12" ht="9" customHeight="1">
      <c r="A19" s="44"/>
      <c r="B19" s="44"/>
      <c r="C19" s="44"/>
      <c r="D19" s="44"/>
      <c r="E19" s="44"/>
      <c r="F19" s="44"/>
      <c r="G19" s="44"/>
      <c r="H19" s="44"/>
    </row>
    <row r="20" spans="1:12" ht="15.75">
      <c r="A20" s="45" t="s">
        <v>19</v>
      </c>
      <c r="B20" s="45"/>
      <c r="C20" s="45"/>
      <c r="D20" s="45" t="s">
        <v>20</v>
      </c>
      <c r="E20" s="45"/>
      <c r="F20" s="45"/>
      <c r="G20" s="46"/>
      <c r="H20" s="45"/>
    </row>
    <row r="21" spans="1:12" ht="15.75">
      <c r="A21" s="45"/>
      <c r="B21" s="45"/>
      <c r="C21" s="45"/>
      <c r="D21" s="45"/>
      <c r="E21" s="45"/>
      <c r="F21" s="45"/>
      <c r="G21" s="47"/>
      <c r="H21" s="45"/>
    </row>
    <row r="22" spans="1:12" ht="15.75">
      <c r="A22" s="45"/>
      <c r="B22" s="45"/>
      <c r="C22" s="45"/>
      <c r="D22" s="45"/>
      <c r="E22" s="45"/>
      <c r="F22" s="45"/>
      <c r="G22" s="48"/>
      <c r="H22" s="45"/>
    </row>
    <row r="23" spans="1:12" ht="15.75">
      <c r="A23" s="49" t="s">
        <v>37</v>
      </c>
      <c r="C23" s="45"/>
      <c r="D23" s="49" t="s">
        <v>21</v>
      </c>
      <c r="F23" s="49"/>
      <c r="G23" s="49"/>
    </row>
    <row r="24" spans="1:12" ht="15.75">
      <c r="A24" s="50" t="s">
        <v>35</v>
      </c>
      <c r="C24" s="50"/>
      <c r="D24" s="50" t="s">
        <v>42</v>
      </c>
      <c r="F24" s="50"/>
      <c r="G24" s="50"/>
    </row>
    <row r="25" spans="1:12">
      <c r="A25" s="51"/>
      <c r="B25" s="51"/>
      <c r="C25" s="51"/>
      <c r="D25" s="51"/>
      <c r="E25" s="51"/>
      <c r="F25" s="51"/>
      <c r="G25" s="52"/>
      <c r="H25" s="51"/>
    </row>
    <row r="26" spans="1:12" s="1" customFormat="1" ht="23.25" hidden="1">
      <c r="A26" s="97" t="s">
        <v>0</v>
      </c>
      <c r="B26" s="97"/>
      <c r="C26" s="97"/>
      <c r="D26" s="97"/>
      <c r="E26" s="97"/>
      <c r="F26" s="97"/>
      <c r="G26" s="97"/>
      <c r="H26" s="97"/>
    </row>
    <row r="27" spans="1:12" s="1" customFormat="1" ht="21" hidden="1">
      <c r="A27" s="4"/>
      <c r="B27" s="5" t="s">
        <v>1</v>
      </c>
      <c r="C27" s="98" t="str">
        <f>C2</f>
        <v>ASTEC LTI</v>
      </c>
      <c r="D27" s="98"/>
      <c r="E27" s="5" t="s">
        <v>3</v>
      </c>
      <c r="F27" s="5"/>
      <c r="G27" s="103">
        <f>G2</f>
        <v>46212</v>
      </c>
      <c r="H27" s="103"/>
    </row>
    <row r="28" spans="1:12" ht="19.5" hidden="1">
      <c r="A28" s="6"/>
      <c r="B28" s="5" t="s">
        <v>4</v>
      </c>
      <c r="C28" s="100" t="str">
        <f>C3</f>
        <v>M-R4A-2026-07-630515</v>
      </c>
      <c r="D28" s="104"/>
      <c r="E28" s="5" t="s">
        <v>5</v>
      </c>
      <c r="F28" s="7"/>
      <c r="G28" s="101"/>
      <c r="H28" s="101"/>
    </row>
    <row r="29" spans="1:12" ht="19.5" hidden="1">
      <c r="A29" s="6"/>
      <c r="B29" s="5" t="s">
        <v>6</v>
      </c>
      <c r="C29" s="9">
        <f>C4</f>
        <v>953</v>
      </c>
      <c r="D29" s="10" t="s">
        <v>7</v>
      </c>
      <c r="E29" s="5" t="s">
        <v>8</v>
      </c>
      <c r="F29" s="11"/>
      <c r="G29" s="101"/>
      <c r="H29" s="101"/>
    </row>
    <row r="30" spans="1:12" ht="19.5" hidden="1">
      <c r="A30" s="6"/>
      <c r="B30" s="6"/>
      <c r="C30" s="6"/>
      <c r="D30" s="6"/>
      <c r="E30" s="6"/>
      <c r="F30" s="6"/>
      <c r="G30" s="12"/>
      <c r="H30" s="6"/>
    </row>
    <row r="31" spans="1:12" ht="39" hidden="1">
      <c r="A31" s="13" t="s">
        <v>9</v>
      </c>
      <c r="B31" s="13" t="s">
        <v>10</v>
      </c>
      <c r="C31" s="14" t="s">
        <v>11</v>
      </c>
      <c r="D31" s="14" t="s">
        <v>12</v>
      </c>
      <c r="E31" s="14" t="s">
        <v>13</v>
      </c>
      <c r="F31" s="14" t="s">
        <v>14</v>
      </c>
      <c r="G31" s="15" t="s">
        <v>15</v>
      </c>
      <c r="H31" s="14" t="s">
        <v>16</v>
      </c>
    </row>
    <row r="32" spans="1:12" s="2" customFormat="1" ht="20.100000000000001" hidden="1" customHeight="1">
      <c r="A32" s="53">
        <v>1</v>
      </c>
      <c r="B32" s="54" t="s">
        <v>22</v>
      </c>
      <c r="C32" s="55">
        <v>566</v>
      </c>
      <c r="D32" s="56">
        <v>1</v>
      </c>
      <c r="E32" s="57">
        <v>0</v>
      </c>
      <c r="F32" s="57">
        <f>C32*D32</f>
        <v>566</v>
      </c>
      <c r="G32" s="57">
        <f>C32-E32-F32</f>
        <v>0</v>
      </c>
      <c r="H32" s="58"/>
    </row>
    <row r="33" spans="1:8" s="2" customFormat="1" ht="20.100000000000001" hidden="1" customHeight="1">
      <c r="A33" s="53">
        <v>2</v>
      </c>
      <c r="B33" s="54"/>
      <c r="C33" s="55"/>
      <c r="D33" s="59"/>
      <c r="E33" s="57"/>
      <c r="F33" s="57"/>
      <c r="G33" s="57"/>
      <c r="H33" s="60"/>
    </row>
    <row r="34" spans="1:8" s="2" customFormat="1" ht="20.100000000000001" hidden="1" customHeight="1">
      <c r="A34" s="53">
        <v>3</v>
      </c>
      <c r="B34" s="61"/>
      <c r="C34" s="55"/>
      <c r="D34" s="62"/>
      <c r="E34" s="63"/>
      <c r="F34" s="63"/>
      <c r="G34" s="63"/>
      <c r="H34" s="60"/>
    </row>
    <row r="35" spans="1:8" s="2" customFormat="1" ht="20.100000000000001" hidden="1" customHeight="1">
      <c r="A35" s="53">
        <v>4</v>
      </c>
      <c r="B35" s="54"/>
      <c r="C35" s="64"/>
      <c r="D35" s="62"/>
      <c r="E35" s="63"/>
      <c r="F35" s="63"/>
      <c r="G35" s="63"/>
      <c r="H35" s="60"/>
    </row>
    <row r="36" spans="1:8" s="2" customFormat="1" ht="20.100000000000001" hidden="1" customHeight="1">
      <c r="A36" s="53">
        <v>5</v>
      </c>
      <c r="B36" s="54"/>
      <c r="C36" s="64"/>
      <c r="D36" s="62"/>
      <c r="E36" s="63"/>
      <c r="F36" s="63"/>
      <c r="G36" s="63"/>
      <c r="H36" s="60"/>
    </row>
    <row r="37" spans="1:8" s="2" customFormat="1" ht="20.100000000000001" hidden="1" customHeight="1">
      <c r="A37" s="53">
        <v>6</v>
      </c>
      <c r="B37" s="65"/>
      <c r="C37" s="66"/>
      <c r="D37" s="67"/>
      <c r="E37" s="63"/>
      <c r="F37" s="63"/>
      <c r="G37" s="63"/>
      <c r="H37" s="60"/>
    </row>
    <row r="38" spans="1:8" s="2" customFormat="1" ht="20.100000000000001" hidden="1" customHeight="1">
      <c r="A38" s="53">
        <v>7</v>
      </c>
      <c r="B38" s="68"/>
      <c r="C38" s="66"/>
      <c r="D38" s="67"/>
      <c r="E38" s="63"/>
      <c r="F38" s="63"/>
      <c r="G38" s="63"/>
      <c r="H38" s="60"/>
    </row>
    <row r="39" spans="1:8" s="2" customFormat="1" ht="20.100000000000001" hidden="1" customHeight="1">
      <c r="A39" s="53">
        <v>8</v>
      </c>
      <c r="B39" s="65"/>
      <c r="C39" s="66"/>
      <c r="D39" s="67"/>
      <c r="E39" s="63"/>
      <c r="F39" s="63"/>
      <c r="G39" s="63"/>
      <c r="H39" s="60"/>
    </row>
    <row r="40" spans="1:8" s="2" customFormat="1" ht="20.100000000000001" hidden="1" customHeight="1">
      <c r="A40" s="53">
        <v>9</v>
      </c>
      <c r="B40" s="65"/>
      <c r="C40" s="66"/>
      <c r="D40" s="67"/>
      <c r="E40" s="63"/>
      <c r="F40" s="63"/>
      <c r="G40" s="63"/>
      <c r="H40" s="60"/>
    </row>
    <row r="41" spans="1:8" s="2" customFormat="1" ht="20.100000000000001" hidden="1" customHeight="1">
      <c r="A41" s="53">
        <v>10</v>
      </c>
      <c r="B41" s="65"/>
      <c r="C41" s="66"/>
      <c r="D41" s="67"/>
      <c r="E41" s="63"/>
      <c r="F41" s="63"/>
      <c r="G41" s="63"/>
      <c r="H41" s="69"/>
    </row>
    <row r="42" spans="1:8" ht="19.5" hidden="1">
      <c r="A42" s="13"/>
      <c r="B42" s="36" t="s">
        <v>17</v>
      </c>
      <c r="C42" s="37">
        <f t="shared" ref="C42:G42" si="3">SUM(C32:C41)</f>
        <v>566</v>
      </c>
      <c r="D42" s="38"/>
      <c r="E42" s="39">
        <f t="shared" si="3"/>
        <v>0</v>
      </c>
      <c r="F42" s="40">
        <f t="shared" si="3"/>
        <v>566</v>
      </c>
      <c r="G42" s="41">
        <f t="shared" si="3"/>
        <v>0</v>
      </c>
      <c r="H42" s="42"/>
    </row>
    <row r="43" spans="1:8" hidden="1"/>
    <row r="44" spans="1:8" ht="15.75" hidden="1">
      <c r="A44" s="45" t="s">
        <v>19</v>
      </c>
      <c r="B44" s="45"/>
      <c r="C44" s="45"/>
      <c r="D44" s="70" t="s">
        <v>23</v>
      </c>
      <c r="E44" s="45"/>
      <c r="F44" s="45"/>
      <c r="G44" s="46" t="s">
        <v>24</v>
      </c>
      <c r="H44" s="45"/>
    </row>
    <row r="45" spans="1:8" ht="15.75" hidden="1">
      <c r="A45" s="45"/>
      <c r="B45" s="45"/>
      <c r="C45" s="45"/>
      <c r="D45" s="71"/>
      <c r="E45" s="45"/>
      <c r="F45" s="45"/>
      <c r="G45" s="47"/>
      <c r="H45" s="45"/>
    </row>
    <row r="46" spans="1:8" ht="15.75" hidden="1">
      <c r="A46" s="45"/>
      <c r="B46" s="45"/>
      <c r="C46" s="45"/>
      <c r="D46" s="45"/>
      <c r="E46" s="45"/>
      <c r="F46" s="45"/>
      <c r="G46" s="48"/>
      <c r="H46" s="45"/>
    </row>
    <row r="47" spans="1:8" ht="15.75" hidden="1">
      <c r="A47" s="72" t="str">
        <f>A23</f>
        <v>PRINCE JOHN JOHAN ARAGON</v>
      </c>
      <c r="C47" s="45"/>
      <c r="D47" s="49" t="s">
        <v>21</v>
      </c>
      <c r="F47" s="49"/>
      <c r="G47" s="49" t="s">
        <v>25</v>
      </c>
    </row>
    <row r="48" spans="1:8" ht="15.75" hidden="1">
      <c r="A48" s="73" t="str">
        <f>A24</f>
        <v>Documentation Staff</v>
      </c>
      <c r="C48" s="50"/>
      <c r="D48" s="50" t="s">
        <v>26</v>
      </c>
      <c r="F48" s="50"/>
      <c r="G48" s="50" t="s">
        <v>27</v>
      </c>
    </row>
    <row r="49" spans="1:8" ht="15.75" hidden="1">
      <c r="A49" s="45"/>
      <c r="B49" s="45"/>
      <c r="C49" s="45"/>
      <c r="D49" s="45"/>
      <c r="E49" s="45"/>
      <c r="F49" s="45"/>
      <c r="G49" s="48"/>
      <c r="H49" s="45"/>
    </row>
    <row r="50" spans="1:8" hidden="1"/>
    <row r="51" spans="1:8" hidden="1">
      <c r="G51" s="74"/>
    </row>
    <row r="52" spans="1:8" hidden="1">
      <c r="G52" s="74"/>
    </row>
    <row r="53" spans="1:8" ht="23.25">
      <c r="A53" s="105"/>
      <c r="B53" s="105"/>
      <c r="C53" s="105"/>
      <c r="D53" s="105"/>
      <c r="E53" s="105"/>
      <c r="F53" s="105"/>
      <c r="G53" s="105"/>
      <c r="H53" s="105"/>
    </row>
    <row r="54" spans="1:8" ht="18.75">
      <c r="A54" s="75"/>
      <c r="B54" s="76"/>
      <c r="C54" s="77"/>
      <c r="D54" s="78"/>
      <c r="E54" s="79"/>
      <c r="F54" s="79"/>
      <c r="G54" s="79"/>
      <c r="H54" s="80"/>
    </row>
    <row r="55" spans="1:8" ht="18.75">
      <c r="A55" s="75"/>
      <c r="B55" s="76"/>
      <c r="C55" s="77"/>
      <c r="D55" s="78"/>
      <c r="E55" s="79" t="s">
        <v>38</v>
      </c>
      <c r="F55" s="79"/>
      <c r="G55" s="79"/>
      <c r="H55" s="80"/>
    </row>
    <row r="56" spans="1:8" ht="18.75">
      <c r="A56" s="75"/>
      <c r="B56" s="76"/>
      <c r="C56" s="77"/>
      <c r="D56" s="78"/>
      <c r="E56" s="79"/>
      <c r="F56" s="79"/>
      <c r="G56" s="79"/>
      <c r="H56" s="80"/>
    </row>
    <row r="57" spans="1:8" ht="18.75">
      <c r="A57" s="75"/>
      <c r="B57" s="76"/>
      <c r="C57" s="77"/>
      <c r="D57" s="78"/>
      <c r="E57" s="79"/>
      <c r="F57" s="79"/>
      <c r="G57" s="79"/>
      <c r="H57" s="80"/>
    </row>
    <row r="58" spans="1:8" ht="18.75">
      <c r="A58" s="75"/>
      <c r="B58" s="76"/>
      <c r="C58" s="77"/>
      <c r="D58" s="78"/>
      <c r="E58" s="79"/>
      <c r="F58" s="79"/>
      <c r="G58" s="79"/>
      <c r="H58" s="80"/>
    </row>
    <row r="59" spans="1:8" ht="18.75">
      <c r="A59" s="75"/>
      <c r="B59" s="81"/>
      <c r="C59" s="77"/>
      <c r="D59" s="78"/>
      <c r="E59" s="79"/>
      <c r="F59" s="79"/>
      <c r="G59" s="79"/>
      <c r="H59" s="82"/>
    </row>
    <row r="60" spans="1:8" ht="18.75">
      <c r="A60" s="75"/>
      <c r="B60" s="106"/>
      <c r="C60" s="106"/>
      <c r="D60" s="106"/>
      <c r="E60" s="79"/>
      <c r="F60" s="79"/>
      <c r="G60" s="79"/>
      <c r="H60" s="82"/>
    </row>
    <row r="61" spans="1:8" ht="18.75">
      <c r="A61" s="75"/>
      <c r="B61" s="107"/>
      <c r="C61" s="107"/>
      <c r="D61" s="107"/>
      <c r="E61" s="79"/>
      <c r="F61" s="79"/>
      <c r="G61" s="79"/>
      <c r="H61" s="82"/>
    </row>
    <row r="62" spans="1:8" ht="18.75">
      <c r="A62" s="75"/>
      <c r="B62" s="108"/>
      <c r="C62" s="108"/>
      <c r="D62" s="108"/>
      <c r="E62" s="79"/>
      <c r="F62" s="79"/>
      <c r="G62" s="79"/>
      <c r="H62" s="82"/>
    </row>
    <row r="63" spans="1:8" ht="18.75">
      <c r="A63" s="75"/>
      <c r="B63" s="109"/>
      <c r="C63" s="109"/>
      <c r="D63" s="109"/>
      <c r="E63" s="79"/>
      <c r="F63" s="79"/>
      <c r="G63" s="79"/>
      <c r="H63" s="83"/>
    </row>
    <row r="64" spans="1:8" ht="19.5">
      <c r="A64" s="84"/>
      <c r="B64" s="85"/>
      <c r="C64" s="86"/>
      <c r="D64" s="87"/>
      <c r="E64" s="88"/>
      <c r="F64" s="89"/>
      <c r="G64" s="90"/>
      <c r="H64" s="91"/>
    </row>
    <row r="65" spans="1:8" ht="17.25">
      <c r="A65" s="102"/>
      <c r="B65" s="102"/>
      <c r="C65" s="102"/>
      <c r="D65" s="102"/>
      <c r="E65" s="102"/>
      <c r="F65" s="102"/>
      <c r="G65" s="102"/>
      <c r="H65" s="102"/>
    </row>
    <row r="66" spans="1:8" ht="15.75">
      <c r="A66" s="45"/>
      <c r="B66" s="45"/>
      <c r="C66" s="45"/>
      <c r="D66" s="45"/>
      <c r="E66" s="45"/>
      <c r="F66" s="45"/>
      <c r="G66" s="92"/>
      <c r="H66" s="45"/>
    </row>
    <row r="67" spans="1:8" ht="15.75">
      <c r="A67" s="45"/>
      <c r="B67" s="45"/>
      <c r="C67" s="45"/>
      <c r="D67" s="45"/>
      <c r="E67" s="45"/>
      <c r="F67" s="45"/>
      <c r="G67" s="47"/>
      <c r="H67" s="45"/>
    </row>
    <row r="68" spans="1:8" ht="15.75">
      <c r="A68" s="45"/>
      <c r="B68" s="45"/>
      <c r="C68" s="45"/>
      <c r="D68" s="45"/>
      <c r="E68" s="45"/>
      <c r="F68" s="45"/>
      <c r="G68" s="48"/>
      <c r="H68" s="45"/>
    </row>
    <row r="69" spans="1:8" ht="15.75">
      <c r="A69" s="49"/>
      <c r="C69" s="45"/>
      <c r="D69" s="49"/>
      <c r="F69" s="49"/>
      <c r="G69" s="49"/>
    </row>
    <row r="70" spans="1:8" ht="15.75">
      <c r="A70" s="50"/>
      <c r="C70" s="50"/>
      <c r="D70" s="50"/>
      <c r="F70" s="50"/>
      <c r="G70" s="50"/>
    </row>
    <row r="71" spans="1:8">
      <c r="A71" s="51"/>
      <c r="B71" s="51"/>
      <c r="C71" s="51"/>
      <c r="D71" s="51"/>
      <c r="E71" s="51"/>
      <c r="F71" s="51"/>
      <c r="G71" s="52"/>
      <c r="H71" s="51"/>
    </row>
  </sheetData>
  <mergeCells count="18">
    <mergeCell ref="G4:H4"/>
    <mergeCell ref="A1:H1"/>
    <mergeCell ref="C2:D2"/>
    <mergeCell ref="G2:H2"/>
    <mergeCell ref="C3:D3"/>
    <mergeCell ref="G3:H3"/>
    <mergeCell ref="A65:H65"/>
    <mergeCell ref="A26:H26"/>
    <mergeCell ref="C27:D27"/>
    <mergeCell ref="G27:H27"/>
    <mergeCell ref="C28:D28"/>
    <mergeCell ref="G28:H28"/>
    <mergeCell ref="G29:H29"/>
    <mergeCell ref="A53:H53"/>
    <mergeCell ref="B60:D60"/>
    <mergeCell ref="B61:D61"/>
    <mergeCell ref="B62:D62"/>
    <mergeCell ref="B63:D63"/>
  </mergeCells>
  <printOptions horizontalCentered="1"/>
  <pageMargins left="0" right="0" top="0.196850393700787" bottom="0" header="0" footer="0"/>
  <pageSetup paperSize="9" scale="8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1907-9D64-4674-A690-99C4CD99138A}">
  <sheetPr codeName="Sheet16">
    <pageSetUpPr fitToPage="1"/>
  </sheetPr>
  <dimension ref="A1:L71"/>
  <sheetViews>
    <sheetView tabSelected="1" view="pageBreakPreview" zoomScale="85" zoomScaleNormal="70" zoomScaleSheetLayoutView="85" workbookViewId="0">
      <selection activeCell="G3" sqref="G3:H3"/>
    </sheetView>
  </sheetViews>
  <sheetFormatPr defaultColWidth="9" defaultRowHeight="15"/>
  <cols>
    <col min="1" max="1" width="5.7109375" customWidth="1"/>
    <col min="2" max="2" width="31.42578125" customWidth="1"/>
    <col min="3" max="3" width="15.85546875" customWidth="1"/>
    <col min="4" max="4" width="14.140625" customWidth="1"/>
    <col min="5" max="5" width="15.140625" customWidth="1"/>
    <col min="6" max="6" width="14.5703125" customWidth="1"/>
    <col min="7" max="7" width="14.42578125" style="3" customWidth="1"/>
    <col min="8" max="8" width="15.42578125" customWidth="1"/>
    <col min="10" max="10" width="14.85546875" customWidth="1"/>
  </cols>
  <sheetData>
    <row r="1" spans="1:11" s="1" customFormat="1" ht="23.25">
      <c r="A1" s="97" t="s">
        <v>0</v>
      </c>
      <c r="B1" s="97"/>
      <c r="C1" s="97"/>
      <c r="D1" s="97"/>
      <c r="E1" s="97"/>
      <c r="F1" s="97"/>
      <c r="G1" s="97"/>
      <c r="H1" s="97"/>
    </row>
    <row r="2" spans="1:11" s="1" customFormat="1" ht="21">
      <c r="A2" s="4"/>
      <c r="B2" s="5" t="s">
        <v>1</v>
      </c>
      <c r="C2" s="98" t="s">
        <v>72</v>
      </c>
      <c r="D2" s="98"/>
      <c r="E2" s="5" t="s">
        <v>3</v>
      </c>
      <c r="F2" s="5"/>
      <c r="G2" s="99" t="s">
        <v>75</v>
      </c>
      <c r="H2" s="99"/>
    </row>
    <row r="3" spans="1:11" ht="19.5">
      <c r="A3" s="6"/>
      <c r="B3" s="5" t="s">
        <v>4</v>
      </c>
      <c r="C3" s="100" t="s">
        <v>73</v>
      </c>
      <c r="D3" s="100"/>
      <c r="E3" s="5" t="s">
        <v>5</v>
      </c>
      <c r="F3" s="7"/>
      <c r="G3" s="101" t="s">
        <v>93</v>
      </c>
      <c r="H3" s="101"/>
      <c r="J3" s="8"/>
    </row>
    <row r="4" spans="1:11" ht="19.5">
      <c r="A4" s="6"/>
      <c r="B4" s="5" t="s">
        <v>6</v>
      </c>
      <c r="C4" s="9" t="s">
        <v>74</v>
      </c>
      <c r="D4" s="10" t="s">
        <v>7</v>
      </c>
      <c r="E4" s="5" t="s">
        <v>8</v>
      </c>
      <c r="F4" s="11"/>
      <c r="G4" s="95" t="s">
        <v>76</v>
      </c>
      <c r="H4" s="96"/>
    </row>
    <row r="5" spans="1:11" ht="6.75" customHeight="1">
      <c r="A5" s="6"/>
      <c r="B5" s="6"/>
      <c r="C5" s="6"/>
      <c r="D5" s="6"/>
      <c r="E5" s="6"/>
      <c r="F5" s="6"/>
      <c r="G5" s="12"/>
      <c r="H5" s="6"/>
    </row>
    <row r="6" spans="1:11" ht="39">
      <c r="A6" s="13" t="s">
        <v>9</v>
      </c>
      <c r="B6" s="13" t="s">
        <v>10</v>
      </c>
      <c r="C6" s="14" t="s">
        <v>11</v>
      </c>
      <c r="D6" s="14" t="s">
        <v>12</v>
      </c>
      <c r="E6" s="14" t="s">
        <v>13</v>
      </c>
      <c r="F6" s="14" t="s">
        <v>14</v>
      </c>
      <c r="G6" s="15" t="s">
        <v>15</v>
      </c>
      <c r="H6" s="14" t="s">
        <v>16</v>
      </c>
      <c r="K6" s="112" t="s">
        <v>92</v>
      </c>
    </row>
    <row r="7" spans="1:11" s="2" customFormat="1" ht="20.100000000000001" customHeight="1">
      <c r="A7" s="16">
        <v>1</v>
      </c>
      <c r="B7" s="17" t="s">
        <v>77</v>
      </c>
      <c r="C7" s="18" t="s">
        <v>78</v>
      </c>
      <c r="D7" s="19" t="s">
        <v>79</v>
      </c>
      <c r="E7" s="20" t="s">
        <v>80</v>
      </c>
      <c r="F7" s="20" t="s">
        <v>81</v>
      </c>
      <c r="G7" s="21" t="s">
        <v>82</v>
      </c>
      <c r="H7" s="22" t="s">
        <v>83</v>
      </c>
      <c r="J7" s="23" t="e">
        <f t="shared" ref="J7:J18" si="0">E7+F7+G7</f>
        <v>#VALUE!</v>
      </c>
    </row>
    <row r="8" spans="1:11" s="2" customFormat="1" ht="20.100000000000001" customHeight="1">
      <c r="A8" s="16">
        <v>2</v>
      </c>
      <c r="B8" s="17"/>
      <c r="C8" s="18"/>
      <c r="D8" s="19"/>
      <c r="E8" s="20">
        <f>C8*D8</f>
        <v>0</v>
      </c>
      <c r="F8" s="20">
        <v>0</v>
      </c>
      <c r="G8" s="21">
        <v>0</v>
      </c>
      <c r="H8" s="24"/>
      <c r="J8" s="23">
        <f t="shared" si="0"/>
        <v>0</v>
      </c>
    </row>
    <row r="9" spans="1:11" s="2" customFormat="1" ht="20.100000000000001" customHeight="1">
      <c r="A9" s="16">
        <v>3</v>
      </c>
      <c r="B9" s="17"/>
      <c r="C9" s="18"/>
      <c r="D9" s="19"/>
      <c r="E9" s="20">
        <f>C9*D9</f>
        <v>0</v>
      </c>
      <c r="F9" s="20">
        <v>0</v>
      </c>
      <c r="G9" s="21">
        <f>C9-E9</f>
        <v>0</v>
      </c>
      <c r="H9" s="24"/>
      <c r="J9" s="23">
        <f t="shared" si="0"/>
        <v>0</v>
      </c>
    </row>
    <row r="10" spans="1:11" s="2" customFormat="1" ht="20.100000000000001" customHeight="1">
      <c r="A10" s="16">
        <v>4</v>
      </c>
      <c r="B10" s="17"/>
      <c r="C10" s="18"/>
      <c r="D10" s="19"/>
      <c r="E10" s="20">
        <f>C10*D10</f>
        <v>0</v>
      </c>
      <c r="F10" s="20">
        <v>0</v>
      </c>
      <c r="G10" s="21">
        <v>0</v>
      </c>
      <c r="H10" s="24"/>
      <c r="J10" s="23">
        <f t="shared" si="0"/>
        <v>0</v>
      </c>
    </row>
    <row r="11" spans="1:11" s="2" customFormat="1" ht="20.100000000000001" customHeight="1">
      <c r="A11" s="16">
        <v>5</v>
      </c>
      <c r="B11" s="17"/>
      <c r="C11" s="18"/>
      <c r="D11" s="19"/>
      <c r="E11" s="20">
        <f t="shared" ref="E11:E17" si="1">ROUND(C11*D11,0)</f>
        <v>0</v>
      </c>
      <c r="F11" s="20">
        <v>0</v>
      </c>
      <c r="G11" s="21">
        <f t="shared" ref="G11:G17" si="2">C11-E11-F11</f>
        <v>0</v>
      </c>
      <c r="H11" s="25"/>
      <c r="J11" s="23">
        <f t="shared" si="0"/>
        <v>0</v>
      </c>
    </row>
    <row r="12" spans="1:11" s="2" customFormat="1" ht="20.100000000000001" customHeight="1">
      <c r="A12" s="16">
        <v>6</v>
      </c>
      <c r="B12" s="17"/>
      <c r="C12" s="18"/>
      <c r="D12" s="26"/>
      <c r="E12" s="20">
        <f t="shared" si="1"/>
        <v>0</v>
      </c>
      <c r="F12" s="20">
        <v>0</v>
      </c>
      <c r="G12" s="21">
        <f t="shared" si="2"/>
        <v>0</v>
      </c>
      <c r="H12" s="27"/>
      <c r="J12" s="23">
        <f t="shared" si="0"/>
        <v>0</v>
      </c>
    </row>
    <row r="13" spans="1:11" s="2" customFormat="1" ht="19.5" customHeight="1">
      <c r="A13" s="16">
        <v>7</v>
      </c>
      <c r="B13" s="17"/>
      <c r="C13" s="28"/>
      <c r="D13" s="29"/>
      <c r="E13" s="20">
        <f t="shared" si="1"/>
        <v>0</v>
      </c>
      <c r="F13" s="20">
        <v>0</v>
      </c>
      <c r="G13" s="21">
        <f t="shared" si="2"/>
        <v>0</v>
      </c>
      <c r="H13" s="30"/>
      <c r="J13" s="23">
        <f t="shared" si="0"/>
        <v>0</v>
      </c>
    </row>
    <row r="14" spans="1:11" s="2" customFormat="1" ht="19.5" customHeight="1">
      <c r="A14" s="16">
        <v>8</v>
      </c>
      <c r="B14" s="17"/>
      <c r="C14" s="28"/>
      <c r="D14" s="29"/>
      <c r="E14" s="20">
        <f t="shared" si="1"/>
        <v>0</v>
      </c>
      <c r="F14" s="20">
        <v>0</v>
      </c>
      <c r="G14" s="21">
        <f t="shared" si="2"/>
        <v>0</v>
      </c>
      <c r="H14" s="30"/>
      <c r="J14" s="23">
        <f t="shared" si="0"/>
        <v>0</v>
      </c>
    </row>
    <row r="15" spans="1:11" s="2" customFormat="1" ht="19.5" customHeight="1">
      <c r="A15" s="16">
        <v>9</v>
      </c>
      <c r="B15" s="93"/>
      <c r="C15" s="32"/>
      <c r="D15" s="33"/>
      <c r="E15" s="20">
        <f t="shared" si="1"/>
        <v>0</v>
      </c>
      <c r="F15" s="20">
        <v>0</v>
      </c>
      <c r="G15" s="21">
        <f t="shared" si="2"/>
        <v>0</v>
      </c>
      <c r="H15" s="30"/>
      <c r="J15" s="23">
        <f t="shared" si="0"/>
        <v>0</v>
      </c>
    </row>
    <row r="16" spans="1:11" s="2" customFormat="1" ht="19.5" customHeight="1">
      <c r="A16" s="16">
        <v>10</v>
      </c>
      <c r="B16" s="94"/>
      <c r="C16" s="35"/>
      <c r="D16" s="33"/>
      <c r="E16" s="20">
        <f t="shared" si="1"/>
        <v>0</v>
      </c>
      <c r="F16" s="20">
        <v>0</v>
      </c>
      <c r="G16" s="21">
        <f t="shared" si="2"/>
        <v>0</v>
      </c>
      <c r="H16" s="30"/>
      <c r="J16" s="23">
        <f t="shared" si="0"/>
        <v>0</v>
      </c>
    </row>
    <row r="17" spans="1:12" s="2" customFormat="1" ht="19.5" customHeight="1">
      <c r="A17" s="16">
        <v>11</v>
      </c>
      <c r="B17" s="94"/>
      <c r="C17" s="35"/>
      <c r="D17" s="33"/>
      <c r="E17" s="20">
        <f t="shared" si="1"/>
        <v>0</v>
      </c>
      <c r="F17" s="20">
        <v>0</v>
      </c>
      <c r="G17" s="21">
        <f t="shared" si="2"/>
        <v>0</v>
      </c>
      <c r="H17" s="30"/>
      <c r="J17" s="23">
        <f t="shared" si="0"/>
        <v>0</v>
      </c>
    </row>
    <row r="18" spans="1:12" ht="19.5">
      <c r="A18" s="13"/>
      <c r="B18" s="36" t="s">
        <v>17</v>
      </c>
      <c r="C18" s="37" t="s">
        <v>84</v>
      </c>
      <c r="D18" s="37"/>
      <c r="E18" s="37" t="s">
        <v>85</v>
      </c>
      <c r="F18" s="37" t="s">
        <v>86</v>
      </c>
      <c r="G18" s="37" t="s">
        <v>87</v>
      </c>
      <c r="H18" s="42"/>
      <c r="J18" s="43" t="e">
        <f t="shared" si="0"/>
        <v>#VALUE!</v>
      </c>
      <c r="L18" s="8" t="s">
        <v>18</v>
      </c>
    </row>
    <row r="19" spans="1:12" ht="9" customHeight="1">
      <c r="A19" s="44"/>
      <c r="B19" s="44"/>
      <c r="C19" s="44"/>
      <c r="D19" s="44"/>
      <c r="E19" s="44"/>
      <c r="F19" s="44"/>
      <c r="G19" s="44"/>
      <c r="H19" s="44"/>
    </row>
    <row r="20" spans="1:12" ht="15.75">
      <c r="A20" s="45" t="s">
        <v>19</v>
      </c>
      <c r="B20" s="45"/>
      <c r="C20" s="45"/>
      <c r="D20" s="45" t="s">
        <v>20</v>
      </c>
      <c r="E20" s="45"/>
      <c r="F20" s="45"/>
      <c r="G20" s="46"/>
      <c r="H20" s="45"/>
    </row>
    <row r="21" spans="1:12" ht="15.75">
      <c r="A21" s="45"/>
      <c r="B21" s="45"/>
      <c r="C21" s="45"/>
      <c r="D21" s="45"/>
      <c r="E21" s="45"/>
      <c r="F21" s="45"/>
      <c r="G21" s="47"/>
      <c r="H21" s="45"/>
    </row>
    <row r="22" spans="1:12" ht="15.75">
      <c r="A22" s="45"/>
      <c r="B22" s="45"/>
      <c r="C22" s="45"/>
      <c r="D22" s="45"/>
      <c r="E22" s="45"/>
      <c r="F22" s="45"/>
      <c r="G22" s="48"/>
      <c r="H22" s="45"/>
    </row>
    <row r="23" spans="1:12" ht="15.75">
      <c r="A23" s="49" t="s">
        <v>90</v>
      </c>
      <c r="C23" s="45"/>
      <c r="D23" s="49" t="s">
        <v>88</v>
      </c>
      <c r="F23" s="49"/>
      <c r="G23" s="49"/>
    </row>
    <row r="24" spans="1:12" ht="15.75">
      <c r="A24" s="50" t="s">
        <v>91</v>
      </c>
      <c r="C24" s="50"/>
      <c r="D24" s="50" t="s">
        <v>89</v>
      </c>
      <c r="F24" s="50"/>
      <c r="G24" s="50"/>
    </row>
    <row r="25" spans="1:12">
      <c r="A25" s="51"/>
      <c r="B25" s="51"/>
      <c r="C25" s="51"/>
      <c r="D25" s="51"/>
      <c r="E25" s="51"/>
      <c r="F25" s="51"/>
      <c r="G25" s="52"/>
      <c r="H25" s="51"/>
    </row>
    <row r="26" spans="1:12" s="1" customFormat="1" ht="23.25" hidden="1">
      <c r="A26" s="97" t="s">
        <v>0</v>
      </c>
      <c r="B26" s="97"/>
      <c r="C26" s="97"/>
      <c r="D26" s="97"/>
      <c r="E26" s="97"/>
      <c r="F26" s="97"/>
      <c r="G26" s="97"/>
      <c r="H26" s="97"/>
    </row>
    <row r="27" spans="1:12" s="1" customFormat="1" ht="21" hidden="1">
      <c r="A27" s="4"/>
      <c r="B27" s="5" t="s">
        <v>1</v>
      </c>
      <c r="C27" s="98" t="str">
        <f>C2</f>
        <v>{{CLIENT}}</v>
      </c>
      <c r="D27" s="98"/>
      <c r="E27" s="5" t="s">
        <v>3</v>
      </c>
      <c r="F27" s="5"/>
      <c r="G27" s="103" t="str">
        <f>G2</f>
        <v>{{DATE}}</v>
      </c>
      <c r="H27" s="103"/>
    </row>
    <row r="28" spans="1:12" ht="19.5" hidden="1">
      <c r="A28" s="6"/>
      <c r="B28" s="5" t="s">
        <v>4</v>
      </c>
      <c r="C28" s="100" t="str">
        <f>C3</f>
        <v>{{MANIFEST}}</v>
      </c>
      <c r="D28" s="104"/>
      <c r="E28" s="5" t="s">
        <v>5</v>
      </c>
      <c r="F28" s="7"/>
      <c r="G28" s="101"/>
      <c r="H28" s="101"/>
    </row>
    <row r="29" spans="1:12" ht="19.5" hidden="1">
      <c r="A29" s="6"/>
      <c r="B29" s="5" t="s">
        <v>6</v>
      </c>
      <c r="C29" s="9" t="str">
        <f>C4</f>
        <v>{{QUANTITY}}</v>
      </c>
      <c r="D29" s="10" t="s">
        <v>7</v>
      </c>
      <c r="E29" s="5" t="s">
        <v>8</v>
      </c>
      <c r="F29" s="11"/>
      <c r="G29" s="101"/>
      <c r="H29" s="101"/>
    </row>
    <row r="30" spans="1:12" ht="19.5" hidden="1">
      <c r="A30" s="6"/>
      <c r="B30" s="6"/>
      <c r="C30" s="6"/>
      <c r="D30" s="6"/>
      <c r="E30" s="6"/>
      <c r="F30" s="6"/>
      <c r="G30" s="12"/>
      <c r="H30" s="6"/>
    </row>
    <row r="31" spans="1:12" ht="39" hidden="1">
      <c r="A31" s="13" t="s">
        <v>9</v>
      </c>
      <c r="B31" s="13" t="s">
        <v>10</v>
      </c>
      <c r="C31" s="14" t="s">
        <v>11</v>
      </c>
      <c r="D31" s="14" t="s">
        <v>12</v>
      </c>
      <c r="E31" s="14" t="s">
        <v>13</v>
      </c>
      <c r="F31" s="14" t="s">
        <v>14</v>
      </c>
      <c r="G31" s="15" t="s">
        <v>15</v>
      </c>
      <c r="H31" s="14" t="s">
        <v>16</v>
      </c>
    </row>
    <row r="32" spans="1:12" s="2" customFormat="1" ht="20.100000000000001" hidden="1" customHeight="1">
      <c r="A32" s="53">
        <v>1</v>
      </c>
      <c r="B32" s="54" t="s">
        <v>22</v>
      </c>
      <c r="C32" s="55">
        <v>566</v>
      </c>
      <c r="D32" s="56">
        <v>1</v>
      </c>
      <c r="E32" s="57">
        <v>0</v>
      </c>
      <c r="F32" s="57">
        <f>C32*D32</f>
        <v>566</v>
      </c>
      <c r="G32" s="57">
        <f>C32-E32-F32</f>
        <v>0</v>
      </c>
      <c r="H32" s="58"/>
    </row>
    <row r="33" spans="1:8" s="2" customFormat="1" ht="20.100000000000001" hidden="1" customHeight="1">
      <c r="A33" s="53">
        <v>2</v>
      </c>
      <c r="B33" s="54"/>
      <c r="C33" s="55"/>
      <c r="D33" s="59"/>
      <c r="E33" s="57"/>
      <c r="F33" s="57"/>
      <c r="G33" s="57"/>
      <c r="H33" s="60"/>
    </row>
    <row r="34" spans="1:8" s="2" customFormat="1" ht="20.100000000000001" hidden="1" customHeight="1">
      <c r="A34" s="53">
        <v>3</v>
      </c>
      <c r="B34" s="61"/>
      <c r="C34" s="55"/>
      <c r="D34" s="62"/>
      <c r="E34" s="63"/>
      <c r="F34" s="63"/>
      <c r="G34" s="63"/>
      <c r="H34" s="60"/>
    </row>
    <row r="35" spans="1:8" s="2" customFormat="1" ht="20.100000000000001" hidden="1" customHeight="1">
      <c r="A35" s="53">
        <v>4</v>
      </c>
      <c r="B35" s="54"/>
      <c r="C35" s="64"/>
      <c r="D35" s="62"/>
      <c r="E35" s="63"/>
      <c r="F35" s="63"/>
      <c r="G35" s="63"/>
      <c r="H35" s="60"/>
    </row>
    <row r="36" spans="1:8" s="2" customFormat="1" ht="20.100000000000001" hidden="1" customHeight="1">
      <c r="A36" s="53">
        <v>5</v>
      </c>
      <c r="B36" s="54"/>
      <c r="C36" s="64"/>
      <c r="D36" s="62"/>
      <c r="E36" s="63"/>
      <c r="F36" s="63"/>
      <c r="G36" s="63"/>
      <c r="H36" s="60"/>
    </row>
    <row r="37" spans="1:8" s="2" customFormat="1" ht="20.100000000000001" hidden="1" customHeight="1">
      <c r="A37" s="53">
        <v>6</v>
      </c>
      <c r="B37" s="65"/>
      <c r="C37" s="66"/>
      <c r="D37" s="67"/>
      <c r="E37" s="63"/>
      <c r="F37" s="63"/>
      <c r="G37" s="63"/>
      <c r="H37" s="60"/>
    </row>
    <row r="38" spans="1:8" s="2" customFormat="1" ht="20.100000000000001" hidden="1" customHeight="1">
      <c r="A38" s="53">
        <v>7</v>
      </c>
      <c r="B38" s="68"/>
      <c r="C38" s="66"/>
      <c r="D38" s="67"/>
      <c r="E38" s="63"/>
      <c r="F38" s="63"/>
      <c r="G38" s="63"/>
      <c r="H38" s="60"/>
    </row>
    <row r="39" spans="1:8" s="2" customFormat="1" ht="20.100000000000001" hidden="1" customHeight="1">
      <c r="A39" s="53">
        <v>8</v>
      </c>
      <c r="B39" s="65"/>
      <c r="C39" s="66"/>
      <c r="D39" s="67"/>
      <c r="E39" s="63"/>
      <c r="F39" s="63"/>
      <c r="G39" s="63"/>
      <c r="H39" s="60"/>
    </row>
    <row r="40" spans="1:8" s="2" customFormat="1" ht="20.100000000000001" hidden="1" customHeight="1">
      <c r="A40" s="53">
        <v>9</v>
      </c>
      <c r="B40" s="65"/>
      <c r="C40" s="66"/>
      <c r="D40" s="67"/>
      <c r="E40" s="63"/>
      <c r="F40" s="63"/>
      <c r="G40" s="63"/>
      <c r="H40" s="60"/>
    </row>
    <row r="41" spans="1:8" s="2" customFormat="1" ht="20.100000000000001" hidden="1" customHeight="1">
      <c r="A41" s="53">
        <v>10</v>
      </c>
      <c r="B41" s="65"/>
      <c r="C41" s="66"/>
      <c r="D41" s="67"/>
      <c r="E41" s="63"/>
      <c r="F41" s="63"/>
      <c r="G41" s="63"/>
      <c r="H41" s="69"/>
    </row>
    <row r="42" spans="1:8" ht="19.5" hidden="1">
      <c r="A42" s="13"/>
      <c r="B42" s="36" t="s">
        <v>17</v>
      </c>
      <c r="C42" s="37">
        <f t="shared" ref="C42:G42" si="3">SUM(C32:C41)</f>
        <v>566</v>
      </c>
      <c r="D42" s="38"/>
      <c r="E42" s="39">
        <f t="shared" si="3"/>
        <v>0</v>
      </c>
      <c r="F42" s="40">
        <f t="shared" si="3"/>
        <v>566</v>
      </c>
      <c r="G42" s="41">
        <f t="shared" si="3"/>
        <v>0</v>
      </c>
      <c r="H42" s="42"/>
    </row>
    <row r="43" spans="1:8" hidden="1"/>
    <row r="44" spans="1:8" ht="15.75" hidden="1">
      <c r="A44" s="45" t="s">
        <v>19</v>
      </c>
      <c r="B44" s="45"/>
      <c r="C44" s="45"/>
      <c r="D44" s="70" t="s">
        <v>23</v>
      </c>
      <c r="E44" s="45"/>
      <c r="F44" s="45"/>
      <c r="G44" s="46" t="s">
        <v>24</v>
      </c>
      <c r="H44" s="45"/>
    </row>
    <row r="45" spans="1:8" ht="15.75" hidden="1">
      <c r="A45" s="45"/>
      <c r="B45" s="45"/>
      <c r="C45" s="45"/>
      <c r="D45" s="71"/>
      <c r="E45" s="45"/>
      <c r="F45" s="45"/>
      <c r="G45" s="47"/>
      <c r="H45" s="45"/>
    </row>
    <row r="46" spans="1:8" ht="15.75" hidden="1">
      <c r="A46" s="45"/>
      <c r="B46" s="45"/>
      <c r="C46" s="45"/>
      <c r="D46" s="45"/>
      <c r="E46" s="45"/>
      <c r="F46" s="45"/>
      <c r="G46" s="48"/>
      <c r="H46" s="45"/>
    </row>
    <row r="47" spans="1:8" ht="15.75" hidden="1">
      <c r="A47" s="72" t="str">
        <f>A23</f>
        <v>{{PREPARED_BY}}</v>
      </c>
      <c r="C47" s="45"/>
      <c r="D47" s="49" t="s">
        <v>21</v>
      </c>
      <c r="F47" s="49"/>
      <c r="G47" s="49" t="s">
        <v>25</v>
      </c>
    </row>
    <row r="48" spans="1:8" ht="15.75" hidden="1">
      <c r="A48" s="73" t="str">
        <f>A24</f>
        <v xml:space="preserve"> {{PREPARED_POSITION}}</v>
      </c>
      <c r="C48" s="50"/>
      <c r="D48" s="50" t="s">
        <v>26</v>
      </c>
      <c r="F48" s="50"/>
      <c r="G48" s="50" t="s">
        <v>27</v>
      </c>
    </row>
    <row r="49" spans="1:8" ht="15.75" hidden="1">
      <c r="A49" s="45"/>
      <c r="B49" s="45"/>
      <c r="C49" s="45"/>
      <c r="D49" s="45"/>
      <c r="E49" s="45"/>
      <c r="F49" s="45"/>
      <c r="G49" s="48"/>
      <c r="H49" s="45"/>
    </row>
    <row r="50" spans="1:8" hidden="1"/>
    <row r="51" spans="1:8" hidden="1">
      <c r="G51" s="74"/>
    </row>
    <row r="52" spans="1:8" hidden="1">
      <c r="G52" s="74"/>
    </row>
    <row r="53" spans="1:8" ht="23.25">
      <c r="A53" s="105"/>
      <c r="B53" s="105"/>
      <c r="C53" s="105"/>
      <c r="D53" s="105"/>
      <c r="E53" s="105"/>
      <c r="F53" s="105"/>
      <c r="G53" s="105"/>
      <c r="H53" s="105"/>
    </row>
    <row r="54" spans="1:8" ht="18.75">
      <c r="A54" s="75"/>
      <c r="B54" s="76"/>
      <c r="C54" s="77"/>
      <c r="D54" s="78"/>
      <c r="E54" s="79"/>
      <c r="F54" s="79"/>
      <c r="G54" s="79"/>
      <c r="H54" s="80"/>
    </row>
    <row r="55" spans="1:8" ht="18.75">
      <c r="A55" s="75"/>
      <c r="B55" s="76"/>
      <c r="C55" s="77"/>
      <c r="D55" s="78"/>
      <c r="E55" s="79" t="s">
        <v>38</v>
      </c>
      <c r="F55" s="79"/>
      <c r="G55" s="79"/>
      <c r="H55" s="80"/>
    </row>
    <row r="56" spans="1:8" ht="18.75">
      <c r="A56" s="75"/>
      <c r="B56" s="76"/>
      <c r="C56" s="77"/>
      <c r="D56" s="78"/>
      <c r="E56" s="79"/>
      <c r="F56" s="79"/>
      <c r="G56" s="79"/>
      <c r="H56" s="80"/>
    </row>
    <row r="57" spans="1:8" ht="18.75">
      <c r="A57" s="75"/>
      <c r="B57" s="76"/>
      <c r="C57" s="77"/>
      <c r="D57" s="78"/>
      <c r="E57" s="79"/>
      <c r="F57" s="79"/>
      <c r="G57" s="79"/>
      <c r="H57" s="80"/>
    </row>
    <row r="58" spans="1:8" ht="18.75">
      <c r="A58" s="75"/>
      <c r="B58" s="76"/>
      <c r="C58" s="77"/>
      <c r="D58" s="78"/>
      <c r="E58" s="79"/>
      <c r="F58" s="79"/>
      <c r="G58" s="79"/>
      <c r="H58" s="80"/>
    </row>
    <row r="59" spans="1:8" ht="18.75">
      <c r="A59" s="75"/>
      <c r="B59" s="81"/>
      <c r="C59" s="77"/>
      <c r="D59" s="78"/>
      <c r="E59" s="79"/>
      <c r="F59" s="79"/>
      <c r="G59" s="79"/>
      <c r="H59" s="82"/>
    </row>
    <row r="60" spans="1:8" ht="18.75">
      <c r="A60" s="75"/>
      <c r="B60" s="106"/>
      <c r="C60" s="106"/>
      <c r="D60" s="106"/>
      <c r="E60" s="79"/>
      <c r="F60" s="79"/>
      <c r="G60" s="79"/>
      <c r="H60" s="82"/>
    </row>
    <row r="61" spans="1:8" ht="18.75">
      <c r="A61" s="75"/>
      <c r="B61" s="107"/>
      <c r="C61" s="107"/>
      <c r="D61" s="107"/>
      <c r="E61" s="79"/>
      <c r="F61" s="79"/>
      <c r="G61" s="79"/>
      <c r="H61" s="82"/>
    </row>
    <row r="62" spans="1:8" ht="18.75">
      <c r="A62" s="75"/>
      <c r="B62" s="108"/>
      <c r="C62" s="108"/>
      <c r="D62" s="108"/>
      <c r="E62" s="79"/>
      <c r="F62" s="79"/>
      <c r="G62" s="79"/>
      <c r="H62" s="82"/>
    </row>
    <row r="63" spans="1:8" ht="18.75">
      <c r="A63" s="75"/>
      <c r="B63" s="109"/>
      <c r="C63" s="109"/>
      <c r="D63" s="109"/>
      <c r="E63" s="79"/>
      <c r="F63" s="79"/>
      <c r="G63" s="79"/>
      <c r="H63" s="83"/>
    </row>
    <row r="64" spans="1:8" ht="19.5">
      <c r="A64" s="84"/>
      <c r="B64" s="85"/>
      <c r="C64" s="86"/>
      <c r="D64" s="87"/>
      <c r="E64" s="88"/>
      <c r="F64" s="89"/>
      <c r="G64" s="90"/>
      <c r="H64" s="91"/>
    </row>
    <row r="65" spans="1:8" ht="17.25">
      <c r="A65" s="102"/>
      <c r="B65" s="102"/>
      <c r="C65" s="102"/>
      <c r="D65" s="102"/>
      <c r="E65" s="102"/>
      <c r="F65" s="102"/>
      <c r="G65" s="102"/>
      <c r="H65" s="102"/>
    </row>
    <row r="66" spans="1:8" ht="15.75">
      <c r="A66" s="45"/>
      <c r="B66" s="45"/>
      <c r="C66" s="45"/>
      <c r="D66" s="45"/>
      <c r="E66" s="45"/>
      <c r="F66" s="45"/>
      <c r="G66" s="92"/>
      <c r="H66" s="45"/>
    </row>
    <row r="67" spans="1:8" ht="15.75">
      <c r="A67" s="45"/>
      <c r="B67" s="45"/>
      <c r="C67" s="45"/>
      <c r="D67" s="45"/>
      <c r="E67" s="45"/>
      <c r="F67" s="45"/>
      <c r="G67" s="47"/>
      <c r="H67" s="45"/>
    </row>
    <row r="68" spans="1:8" ht="15.75">
      <c r="A68" s="45"/>
      <c r="B68" s="45"/>
      <c r="C68" s="45"/>
      <c r="D68" s="45"/>
      <c r="E68" s="45"/>
      <c r="F68" s="45"/>
      <c r="G68" s="48"/>
      <c r="H68" s="45"/>
    </row>
    <row r="69" spans="1:8" ht="15.75">
      <c r="A69" s="49"/>
      <c r="C69" s="45"/>
      <c r="D69" s="49"/>
      <c r="F69" s="49"/>
      <c r="G69" s="49"/>
    </row>
    <row r="70" spans="1:8" ht="15.75">
      <c r="A70" s="50"/>
      <c r="C70" s="50"/>
      <c r="D70" s="50"/>
      <c r="F70" s="50"/>
      <c r="G70" s="50"/>
    </row>
    <row r="71" spans="1:8">
      <c r="A71" s="51"/>
      <c r="B71" s="51"/>
      <c r="C71" s="51"/>
      <c r="D71" s="51"/>
      <c r="E71" s="51"/>
      <c r="F71" s="51"/>
      <c r="G71" s="52"/>
      <c r="H71" s="51"/>
    </row>
  </sheetData>
  <mergeCells count="18">
    <mergeCell ref="A65:H65"/>
    <mergeCell ref="A26:H26"/>
    <mergeCell ref="C27:D27"/>
    <mergeCell ref="G27:H27"/>
    <mergeCell ref="C28:D28"/>
    <mergeCell ref="G28:H28"/>
    <mergeCell ref="G29:H29"/>
    <mergeCell ref="A53:H53"/>
    <mergeCell ref="B60:D60"/>
    <mergeCell ref="B61:D61"/>
    <mergeCell ref="B62:D62"/>
    <mergeCell ref="B63:D63"/>
    <mergeCell ref="G4:H4"/>
    <mergeCell ref="A1:H1"/>
    <mergeCell ref="C2:D2"/>
    <mergeCell ref="G2:H2"/>
    <mergeCell ref="C3:D3"/>
    <mergeCell ref="G3:H3"/>
  </mergeCells>
  <printOptions horizontalCentered="1"/>
  <pageMargins left="0" right="0" top="0.196850393700787" bottom="0" header="0" footer="0"/>
  <pageSetup paperSize="9" scale="80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ASTEC LTI 07-01</vt:lpstr>
      <vt:lpstr>BROTHER 07-01</vt:lpstr>
      <vt:lpstr>NIDEC 07-03</vt:lpstr>
      <vt:lpstr>ASTEC LTI 07-03</vt:lpstr>
      <vt:lpstr>TSUKIDEN 07-03</vt:lpstr>
      <vt:lpstr>ASTEC LTI 07-06 (1.487)</vt:lpstr>
      <vt:lpstr>ASTEC LTI 07-06 (0.507)</vt:lpstr>
      <vt:lpstr>ASTEC CEZ 07-06</vt:lpstr>
      <vt:lpstr>DENSO 07-06 (2.01)</vt:lpstr>
      <vt:lpstr>DENSO 07-06 (2.007)</vt:lpstr>
      <vt:lpstr>ASTEC LTI 07-08</vt:lpstr>
      <vt:lpstr>ASTEC LTI 07-09</vt:lpstr>
      <vt:lpstr>HAZWASTE TEMPLATE</vt:lpstr>
      <vt:lpstr>'ASTEC CEZ 07-06'!Print_Area</vt:lpstr>
      <vt:lpstr>'ASTEC LTI 07-01'!Print_Area</vt:lpstr>
      <vt:lpstr>'ASTEC LTI 07-03'!Print_Area</vt:lpstr>
      <vt:lpstr>'ASTEC LTI 07-06 (0.507)'!Print_Area</vt:lpstr>
      <vt:lpstr>'ASTEC LTI 07-06 (1.487)'!Print_Area</vt:lpstr>
      <vt:lpstr>'ASTEC LTI 07-08'!Print_Area</vt:lpstr>
      <vt:lpstr>'ASTEC LTI 07-09'!Print_Area</vt:lpstr>
      <vt:lpstr>'BROTHER 07-01'!Print_Area</vt:lpstr>
      <vt:lpstr>'DENSO 07-06 (2.007)'!Print_Area</vt:lpstr>
      <vt:lpstr>'DENSO 07-06 (2.01)'!Print_Area</vt:lpstr>
      <vt:lpstr>'HAZWASTE TEMPLATE'!Print_Area</vt:lpstr>
      <vt:lpstr>'NIDEC 07-03'!Print_Area</vt:lpstr>
      <vt:lpstr>'TSUKIDEN 07-03'!Print_Area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IVY LORRAINE NABUAB</dc:creator>
  <cp:lastModifiedBy>SMEI ADMIN - Angge</cp:lastModifiedBy>
  <cp:lastPrinted>2026-07-16T06:41:19Z</cp:lastPrinted>
  <dcterms:created xsi:type="dcterms:W3CDTF">2022-09-09T00:26:00Z</dcterms:created>
  <dcterms:modified xsi:type="dcterms:W3CDTF">2026-07-16T06:43:18Z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26A30AF38CE14A43AB70EC1857FB7CE7_12</vt:lpwstr>
  </property>
  <property fmtid="{D5CDD505-2E9C-101B-9397-08002B2CF9AE}" pid="3" name="KSOProductBuildVer">
    <vt:lpwstr>1033-12.1.0.25862</vt:lpwstr>
  </property>
  <property fmtid="{D5CDD505-2E9C-101B-9397-08002B2CF9AE}" pid="4" name="CalculationRule">
    <vt:i4>0</vt:i4>
  </property>
</Properties>
</file>